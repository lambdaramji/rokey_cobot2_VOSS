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일정" sheetId="1" state="visible" r:id="rId1"/>
    <sheet xmlns:r="http://schemas.openxmlformats.org/officeDocument/2006/relationships" name="마일스톤" sheetId="2" state="visible" r:id="rId2"/>
    <sheet xmlns:r="http://schemas.openxmlformats.org/officeDocument/2006/relationships" name="실측 체크리스트" sheetId="3" state="visible" r:id="rId3"/>
    <sheet xmlns:r="http://schemas.openxmlformats.org/officeDocument/2006/relationships" name="미결정 항목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"/>
    <numFmt numFmtId="165" formatCode="m/d&quot; (&quot;ddd\)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4"/>
    </font>
    <font>
      <name val="Noto Sans CJK SC"/>
      <family val="2"/>
      <b val="1"/>
      <color rgb="FF000000"/>
      <sz val="14"/>
    </font>
    <font>
      <name val="Noto Sans CJK SC"/>
      <family val="2"/>
      <color rgb="FF595959"/>
      <sz val="10"/>
    </font>
    <font>
      <name val="Arial"/>
      <charset val="1"/>
      <family val="0"/>
      <color rgb="FF595959"/>
      <sz val="10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family val="2"/>
      <color rgb="FF595959"/>
      <sz val="9"/>
    </font>
    <font>
      <name val="Arial"/>
      <charset val="1"/>
      <family val="0"/>
      <color rgb="FF595959"/>
      <sz val="9"/>
    </font>
    <font>
      <name val="Arial"/>
      <charset val="1"/>
      <family val="0"/>
      <color rgb="FF000000"/>
      <sz val="10"/>
    </font>
    <font>
      <name val="Noto Sans CJK SC"/>
      <family val="2"/>
      <color rgb="FF000000"/>
      <sz val="10"/>
    </font>
    <font>
      <name val="Arial"/>
      <charset val="1"/>
      <family val="0"/>
      <color rgb="FF548235"/>
      <sz val="9"/>
    </font>
    <font>
      <name val="Arial"/>
      <charset val="1"/>
      <family val="0"/>
      <color rgb="FF2F75B5"/>
      <sz val="9"/>
    </font>
    <font>
      <name val="Arial"/>
      <charset val="1"/>
      <family val="0"/>
      <color rgb="FFC55A11"/>
      <sz val="9"/>
    </font>
    <font>
      <name val="Arial"/>
      <charset val="1"/>
      <family val="0"/>
      <color rgb="FFBF8F00"/>
      <sz val="9"/>
    </font>
    <font>
      <name val="Noto Sans CJK SC"/>
      <family val="2"/>
      <b val="1"/>
      <color rgb="FF000000"/>
      <sz val="10"/>
    </font>
    <font>
      <name val="Arial"/>
      <charset val="1"/>
      <family val="0"/>
      <b val="1"/>
      <color rgb="FF000000"/>
      <sz val="10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7F7F7F"/>
        <bgColor rgb="FF969696"/>
      </patternFill>
    </fill>
    <fill>
      <patternFill patternType="solid">
        <fgColor rgb="FFEDEDED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FCE4D6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general" vertical="center" wrapText="1"/>
    </xf>
    <xf numFmtId="0" fontId="13" fillId="0" borderId="1" applyAlignment="1" pivotButton="0" quotePrefix="0" xfId="0">
      <alignment horizontal="general" vertical="center" wrapText="1"/>
    </xf>
    <xf numFmtId="164" fontId="12" fillId="5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center" wrapText="1"/>
    </xf>
    <xf numFmtId="9" fontId="12" fillId="5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center" vertical="bottom"/>
    </xf>
    <xf numFmtId="0" fontId="13" fillId="6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center" vertical="bottom"/>
    </xf>
    <xf numFmtId="0" fontId="13" fillId="8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9" fontId="1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center" wrapText="1"/>
    </xf>
    <xf numFmtId="0" fontId="8" fillId="2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general" vertical="center" wrapText="1"/>
    </xf>
    <xf numFmtId="0" fontId="13" fillId="0" borderId="1" applyAlignment="1" pivotButton="0" quotePrefix="0" xfId="0">
      <alignment horizontal="general" vertical="center" wrapText="1"/>
    </xf>
    <xf numFmtId="164" fontId="12" fillId="5" borderId="1" applyAlignment="1" pivotButton="0" quotePrefix="0" xfId="0">
      <alignment horizontal="general" vertical="center" wrapText="1"/>
    </xf>
    <xf numFmtId="0" fontId="13" fillId="5" borderId="1" applyAlignment="1" pivotButton="0" quotePrefix="0" xfId="0">
      <alignment horizontal="general" vertical="center" wrapText="1"/>
    </xf>
    <xf numFmtId="9" fontId="12" fillId="5" borderId="1" applyAlignment="1" pivotButton="0" quotePrefix="0" xfId="0">
      <alignment horizontal="general" vertical="center" wrapText="1"/>
    </xf>
    <xf numFmtId="0" fontId="11" fillId="0" borderId="1" applyAlignment="1" pivotButton="0" quotePrefix="0" xfId="0">
      <alignment horizontal="center" vertical="bottom"/>
    </xf>
    <xf numFmtId="0" fontId="13" fillId="6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general" vertical="center" wrapText="1"/>
    </xf>
    <xf numFmtId="0" fontId="15" fillId="0" borderId="1" applyAlignment="1" pivotButton="0" quotePrefix="0" xfId="0">
      <alignment horizontal="center" vertical="bottom"/>
    </xf>
    <xf numFmtId="0" fontId="13" fillId="8" borderId="1" applyAlignment="1" pivotButton="0" quotePrefix="0" xfId="0">
      <alignment horizontal="general" vertical="center" wrapText="1"/>
    </xf>
    <xf numFmtId="0" fontId="16" fillId="0" borderId="1" applyAlignment="1" pivotButton="0" quotePrefix="0" xfId="0">
      <alignment horizontal="center" vertical="bottom"/>
    </xf>
    <xf numFmtId="0" fontId="17" fillId="0" borderId="1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9" fillId="2" borderId="1" applyAlignment="1" pivotButton="0" quotePrefix="0" xfId="0">
      <alignment horizontal="general" vertical="bottom"/>
    </xf>
    <xf numFmtId="0" fontId="13" fillId="6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9" fontId="12" fillId="0" borderId="1" applyAlignment="1" pivotButton="0" quotePrefix="0" xfId="0">
      <alignment horizontal="general" vertical="bottom"/>
    </xf>
    <xf numFmtId="0" fontId="13" fillId="7" borderId="1" applyAlignment="1" pivotButton="0" quotePrefix="0" xfId="0">
      <alignment horizontal="general" vertical="bottom"/>
    </xf>
    <xf numFmtId="0" fontId="13" fillId="8" borderId="1" applyAlignment="1" pivotButton="0" quotePrefix="0" xfId="0">
      <alignment horizontal="general" vertical="bottom"/>
    </xf>
    <xf numFmtId="0" fontId="13" fillId="5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9" fontId="19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5" fontId="12" fillId="0" borderId="1" applyAlignment="1" pivotButton="0" quotePrefix="0" xfId="0">
      <alignment horizontal="general" vertical="center" wrapText="1"/>
    </xf>
    <xf numFmtId="0" fontId="8" fillId="2" borderId="1" applyAlignment="1" pivotButton="0" quotePrefix="0" xfId="0">
      <alignment horizontal="general" vertical="bottom"/>
    </xf>
    <xf numFmtId="0" fontId="12" fillId="5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bottom"/>
    </xf>
    <xf numFmtId="164" fontId="12" fillId="0" borderId="1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5">
    <dxf>
      <font>
        <name val="Arial"/>
        <charset val="1"/>
        <family val="0"/>
        <color rgb="FF548235"/>
      </font>
      <fill>
        <patternFill>
          <bgColor rgb="FF548235"/>
        </patternFill>
      </fill>
    </dxf>
    <dxf>
      <font>
        <name val="Arial"/>
        <charset val="1"/>
        <family val="0"/>
        <color rgb="FF2F75B5"/>
      </font>
      <fill>
        <patternFill>
          <bgColor rgb="FF2F75B5"/>
        </patternFill>
      </fill>
    </dxf>
    <dxf>
      <font>
        <name val="Arial"/>
        <charset val="1"/>
        <family val="0"/>
        <color rgb="FFC55A11"/>
      </font>
      <fill>
        <patternFill>
          <bgColor rgb="FFC55A11"/>
        </patternFill>
      </fill>
    </dxf>
    <dxf>
      <font>
        <name val="Arial"/>
        <charset val="1"/>
        <family val="0"/>
        <color rgb="FFBF8F00"/>
      </font>
      <fill>
        <patternFill>
          <bgColor rgb="FFBF8F00"/>
        </patternFill>
      </fill>
    </dxf>
    <dxf>
      <font>
        <name val="Arial"/>
        <charset val="1"/>
        <family val="0"/>
        <color rgb="FF595959"/>
      </font>
      <fill>
        <patternFill>
          <bgColor rgb="FF59595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7F7F7F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BF8F00"/>
      <rgbColor rgb="FFC55A11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39" min="1" max="1"/>
    <col width="16" customWidth="1" style="39" min="2" max="2"/>
    <col width="8" customWidth="1" style="39" min="3" max="3"/>
    <col width="52" customWidth="1" style="39" min="4" max="4"/>
    <col width="7" customWidth="1" style="39" min="5" max="6"/>
    <col width="5" customWidth="1" style="39" min="7" max="7"/>
    <col width="30" customWidth="1" style="39" min="8" max="8"/>
    <col width="20" customWidth="1" style="39" min="9" max="9"/>
    <col width="7" customWidth="1" style="39" min="10" max="11"/>
    <col width="4.2" customWidth="1" style="39" min="12" max="23"/>
  </cols>
  <sheetData>
    <row r="1" ht="21.6" customHeight="1" s="40">
      <c r="A1" s="41" t="inlineStr">
        <is>
          <t>VOSS 개발 일정 · 2026-10-05 ~ 10-16</t>
        </is>
      </c>
    </row>
    <row r="2" ht="15" customHeight="1" s="40">
      <c r="A2" s="42" t="inlineStr">
        <is>
          <t>상태 열은 드롭다운(예정/진행/완료/지연)으로 고르고 진행률은 0~1로 입력. 시작·종료 날짜를 바꾸면 간트 막대가 따라 움직임. 노란 셀이 입력 칸.</t>
        </is>
      </c>
    </row>
    <row r="4" ht="30" customHeight="1" s="40">
      <c r="A4" s="43" t="inlineStr">
        <is>
          <t>ID</t>
        </is>
      </c>
      <c r="B4" s="44" t="inlineStr">
        <is>
          <t>파트</t>
        </is>
      </c>
      <c r="C4" s="44" t="inlineStr">
        <is>
          <t>담당</t>
        </is>
      </c>
      <c r="D4" s="44" t="inlineStr">
        <is>
          <t>작업</t>
        </is>
      </c>
      <c r="E4" s="44" t="inlineStr">
        <is>
          <t>시작</t>
        </is>
      </c>
      <c r="F4" s="44" t="inlineStr">
        <is>
          <t>종료</t>
        </is>
      </c>
      <c r="G4" s="44" t="inlineStr">
        <is>
          <t>일수</t>
        </is>
      </c>
      <c r="H4" s="44" t="inlineStr">
        <is>
          <t>완료 기준 / 산출물</t>
        </is>
      </c>
      <c r="I4" s="44" t="inlineStr">
        <is>
          <t>관련 요구사항</t>
        </is>
      </c>
      <c r="J4" s="44" t="inlineStr">
        <is>
          <t>상태</t>
        </is>
      </c>
      <c r="K4" s="44" t="inlineStr">
        <is>
          <t>진행률</t>
        </is>
      </c>
      <c r="L4" s="45" t="n">
        <v>46300</v>
      </c>
      <c r="M4" s="46" t="n">
        <v>46301</v>
      </c>
      <c r="N4" s="46" t="n">
        <v>46302</v>
      </c>
      <c r="O4" s="46" t="n">
        <v>46303</v>
      </c>
      <c r="P4" s="45" t="n">
        <v>46304</v>
      </c>
      <c r="Q4" s="45" t="n">
        <v>46305</v>
      </c>
      <c r="R4" s="45" t="n">
        <v>46306</v>
      </c>
      <c r="S4" s="46" t="n">
        <v>46307</v>
      </c>
      <c r="T4" s="46" t="n">
        <v>46308</v>
      </c>
      <c r="U4" s="46" t="n">
        <v>46309</v>
      </c>
      <c r="V4" s="46" t="n">
        <v>46310</v>
      </c>
      <c r="W4" s="46" t="n">
        <v>46311</v>
      </c>
    </row>
    <row r="5" ht="15" customHeight="1" s="40">
      <c r="D5" s="42" t="inlineStr">
        <is>
          <t>요일 / 비고</t>
        </is>
      </c>
      <c r="L5" s="47" t="inlineStr">
        <is>
          <t>휴무</t>
        </is>
      </c>
      <c r="M5" s="47" t="inlineStr">
        <is>
          <t>화</t>
        </is>
      </c>
      <c r="N5" s="47" t="inlineStr">
        <is>
          <t>수</t>
        </is>
      </c>
      <c r="O5" s="47" t="inlineStr">
        <is>
          <t>목</t>
        </is>
      </c>
      <c r="P5" s="47" t="inlineStr">
        <is>
          <t>휴무(한글날)</t>
        </is>
      </c>
      <c r="Q5" s="47" t="inlineStr">
        <is>
          <t>토</t>
        </is>
      </c>
      <c r="R5" s="47" t="inlineStr">
        <is>
          <t>일</t>
        </is>
      </c>
      <c r="S5" s="47" t="inlineStr">
        <is>
          <t>월</t>
        </is>
      </c>
      <c r="T5" s="47" t="inlineStr">
        <is>
          <t>화</t>
        </is>
      </c>
      <c r="U5" s="47" t="inlineStr">
        <is>
          <t>수</t>
        </is>
      </c>
      <c r="V5" s="47" t="inlineStr">
        <is>
          <t>목</t>
        </is>
      </c>
      <c r="W5" s="47" t="inlineStr">
        <is>
          <t>금</t>
        </is>
      </c>
    </row>
    <row r="6" ht="29.85" customHeight="1" s="40">
      <c r="A6" s="48" t="inlineStr">
        <is>
          <t>T01</t>
        </is>
      </c>
      <c r="B6" s="49" t="inlineStr">
        <is>
          <t>전체</t>
        </is>
      </c>
      <c r="C6" s="50" t="inlineStr">
        <is>
          <t>전원</t>
        </is>
      </c>
      <c r="D6" s="50" t="inlineStr">
        <is>
          <t>인터페이스 확정: 노드·토픽·intent JSON·voss_config.yaml 형식, 레포 생성</t>
        </is>
      </c>
      <c r="E6" s="51" t="n">
        <v>46300</v>
      </c>
      <c r="F6" s="51" t="n">
        <v>46300</v>
      </c>
      <c r="G6" s="48">
        <f>F6-E6+1</f>
        <v/>
      </c>
      <c r="H6" s="50" t="inlineStr">
        <is>
          <t>레포에 인터페이스 문서 커밋</t>
        </is>
      </c>
      <c r="I6" s="48" t="inlineStr">
        <is>
          <t>SRD 9장, BRD 8.3</t>
        </is>
      </c>
      <c r="J6" s="52" t="inlineStr">
        <is>
          <t>예정</t>
        </is>
      </c>
      <c r="K6" s="53" t="n">
        <v>0</v>
      </c>
      <c r="L6" s="54">
        <f>IF(AND(L$4&gt;=$E6,L$4&lt;=$F6),"■","")</f>
        <v/>
      </c>
      <c r="M6" s="54">
        <f>IF(AND(M$4&gt;=$E6,M$4&lt;=$F6),"■","")</f>
        <v/>
      </c>
      <c r="N6" s="54">
        <f>IF(AND(N$4&gt;=$E6,N$4&lt;=$F6),"■","")</f>
        <v/>
      </c>
      <c r="O6" s="54">
        <f>IF(AND(O$4&gt;=$E6,O$4&lt;=$F6),"■","")</f>
        <v/>
      </c>
      <c r="P6" s="54">
        <f>IF(AND(P$4&gt;=$E6,P$4&lt;=$F6),"■","")</f>
        <v/>
      </c>
      <c r="Q6" s="54">
        <f>IF(AND(Q$4&gt;=$E6,Q$4&lt;=$F6),"■","")</f>
        <v/>
      </c>
      <c r="R6" s="54">
        <f>IF(AND(R$4&gt;=$E6,R$4&lt;=$F6),"■","")</f>
        <v/>
      </c>
      <c r="S6" s="54">
        <f>IF(AND(S$4&gt;=$E6,S$4&lt;=$F6),"■","")</f>
        <v/>
      </c>
      <c r="T6" s="54">
        <f>IF(AND(T$4&gt;=$E6,T$4&lt;=$F6),"■","")</f>
        <v/>
      </c>
      <c r="U6" s="54">
        <f>IF(AND(U$4&gt;=$E6,U$4&lt;=$F6),"■","")</f>
        <v/>
      </c>
      <c r="V6" s="54">
        <f>IF(AND(V$4&gt;=$E6,V$4&lt;=$F6),"■","")</f>
        <v/>
      </c>
      <c r="W6" s="54">
        <f>IF(AND(W$4&gt;=$E6,W$4&lt;=$F6),"■","")</f>
        <v/>
      </c>
    </row>
    <row r="7" ht="15" customHeight="1" s="40">
      <c r="A7" s="48" t="inlineStr">
        <is>
          <t>T02</t>
        </is>
      </c>
      <c r="B7" s="49" t="inlineStr">
        <is>
          <t>전체</t>
        </is>
      </c>
      <c r="C7" s="50" t="inlineStr">
        <is>
          <t>전원</t>
        </is>
      </c>
      <c r="D7" s="48" t="inlineStr">
        <is>
          <t>10/06 실측·확인 (실측 체크리스트 시트)</t>
        </is>
      </c>
      <c r="E7" s="51" t="n">
        <v>46301</v>
      </c>
      <c r="F7" s="51" t="n">
        <v>46301</v>
      </c>
      <c r="G7" s="48">
        <f>F7-E7+1</f>
        <v/>
      </c>
      <c r="H7" s="50" t="inlineStr">
        <is>
          <t>체크리스트 전 항목 기록</t>
        </is>
      </c>
      <c r="I7" s="48" t="inlineStr">
        <is>
          <t>SRD 16장</t>
        </is>
      </c>
      <c r="J7" s="52" t="inlineStr">
        <is>
          <t>예정</t>
        </is>
      </c>
      <c r="K7" s="53" t="n">
        <v>0</v>
      </c>
      <c r="L7" s="54">
        <f>IF(AND(L$4&gt;=$E7,L$4&lt;=$F7),"■","")</f>
        <v/>
      </c>
      <c r="M7" s="54">
        <f>IF(AND(M$4&gt;=$E7,M$4&lt;=$F7),"■","")</f>
        <v/>
      </c>
      <c r="N7" s="54">
        <f>IF(AND(N$4&gt;=$E7,N$4&lt;=$F7),"■","")</f>
        <v/>
      </c>
      <c r="O7" s="54">
        <f>IF(AND(O$4&gt;=$E7,O$4&lt;=$F7),"■","")</f>
        <v/>
      </c>
      <c r="P7" s="54">
        <f>IF(AND(P$4&gt;=$E7,P$4&lt;=$F7),"■","")</f>
        <v/>
      </c>
      <c r="Q7" s="54">
        <f>IF(AND(Q$4&gt;=$E7,Q$4&lt;=$F7),"■","")</f>
        <v/>
      </c>
      <c r="R7" s="54">
        <f>IF(AND(R$4&gt;=$E7,R$4&lt;=$F7),"■","")</f>
        <v/>
      </c>
      <c r="S7" s="54">
        <f>IF(AND(S$4&gt;=$E7,S$4&lt;=$F7),"■","")</f>
        <v/>
      </c>
      <c r="T7" s="54">
        <f>IF(AND(T$4&gt;=$E7,T$4&lt;=$F7),"■","")</f>
        <v/>
      </c>
      <c r="U7" s="54">
        <f>IF(AND(U$4&gt;=$E7,U$4&lt;=$F7),"■","")</f>
        <v/>
      </c>
      <c r="V7" s="54">
        <f>IF(AND(V$4&gt;=$E7,V$4&lt;=$F7),"■","")</f>
        <v/>
      </c>
      <c r="W7" s="54">
        <f>IF(AND(W$4&gt;=$E7,W$4&lt;=$F7),"■","")</f>
        <v/>
      </c>
    </row>
    <row r="8" ht="15" customHeight="1" s="40">
      <c r="A8" s="48" t="inlineStr">
        <is>
          <t>T03</t>
        </is>
      </c>
      <c r="B8" s="49" t="inlineStr">
        <is>
          <t>전체</t>
        </is>
      </c>
      <c r="C8" s="50" t="inlineStr">
        <is>
          <t>전원</t>
        </is>
      </c>
      <c r="D8" s="50" t="inlineStr">
        <is>
          <t>중간 점검 발표 준비·발표 (주제·진행 방향·진행률)</t>
        </is>
      </c>
      <c r="E8" s="51" t="n">
        <v>46302</v>
      </c>
      <c r="F8" s="51" t="n">
        <v>46302</v>
      </c>
      <c r="G8" s="48">
        <f>F8-E8+1</f>
        <v/>
      </c>
      <c r="H8" s="50" t="inlineStr">
        <is>
          <t>발표 완료</t>
        </is>
      </c>
      <c r="I8" s="48" t="inlineStr">
        <is>
          <t>BRD 8.2</t>
        </is>
      </c>
      <c r="J8" s="52" t="inlineStr">
        <is>
          <t>예정</t>
        </is>
      </c>
      <c r="K8" s="53" t="n">
        <v>0</v>
      </c>
      <c r="L8" s="54">
        <f>IF(AND(L$4&gt;=$E8,L$4&lt;=$F8),"■","")</f>
        <v/>
      </c>
      <c r="M8" s="54">
        <f>IF(AND(M$4&gt;=$E8,M$4&lt;=$F8),"■","")</f>
        <v/>
      </c>
      <c r="N8" s="54">
        <f>IF(AND(N$4&gt;=$E8,N$4&lt;=$F8),"■","")</f>
        <v/>
      </c>
      <c r="O8" s="54">
        <f>IF(AND(O$4&gt;=$E8,O$4&lt;=$F8),"■","")</f>
        <v/>
      </c>
      <c r="P8" s="54">
        <f>IF(AND(P$4&gt;=$E8,P$4&lt;=$F8),"■","")</f>
        <v/>
      </c>
      <c r="Q8" s="54">
        <f>IF(AND(Q$4&gt;=$E8,Q$4&lt;=$F8),"■","")</f>
        <v/>
      </c>
      <c r="R8" s="54">
        <f>IF(AND(R$4&gt;=$E8,R$4&lt;=$F8),"■","")</f>
        <v/>
      </c>
      <c r="S8" s="54">
        <f>IF(AND(S$4&gt;=$E8,S$4&lt;=$F8),"■","")</f>
        <v/>
      </c>
      <c r="T8" s="54">
        <f>IF(AND(T$4&gt;=$E8,T$4&lt;=$F8),"■","")</f>
        <v/>
      </c>
      <c r="U8" s="54">
        <f>IF(AND(U$4&gt;=$E8,U$4&lt;=$F8),"■","")</f>
        <v/>
      </c>
      <c r="V8" s="54">
        <f>IF(AND(V$4&gt;=$E8,V$4&lt;=$F8),"■","")</f>
        <v/>
      </c>
      <c r="W8" s="54">
        <f>IF(AND(W$4&gt;=$E8,W$4&lt;=$F8),"■","")</f>
        <v/>
      </c>
    </row>
    <row r="9" ht="15" customHeight="1" s="40">
      <c r="A9" s="48" t="inlineStr">
        <is>
          <t>T04</t>
        </is>
      </c>
      <c r="B9" s="49" t="inlineStr">
        <is>
          <t>전체</t>
        </is>
      </c>
      <c r="C9" s="50" t="inlineStr">
        <is>
          <t>전원</t>
        </is>
      </c>
      <c r="D9" s="48" t="inlineStr">
        <is>
          <t>10/10 게이트: 추종 파지 성공률 70% 판단, 미달 시 B 개루프 전환</t>
        </is>
      </c>
      <c r="E9" s="51" t="n">
        <v>46305</v>
      </c>
      <c r="F9" s="51" t="n">
        <v>46305</v>
      </c>
      <c r="G9" s="48">
        <f>F9-E9+1</f>
        <v/>
      </c>
      <c r="H9" s="50" t="inlineStr">
        <is>
          <t>성공률 로그, 결정 기록</t>
        </is>
      </c>
      <c r="I9" s="48" t="inlineStr">
        <is>
          <t>SR-FN-04, BRD 8.2</t>
        </is>
      </c>
      <c r="J9" s="52" t="inlineStr">
        <is>
          <t>예정</t>
        </is>
      </c>
      <c r="K9" s="53" t="n">
        <v>0</v>
      </c>
      <c r="L9" s="54">
        <f>IF(AND(L$4&gt;=$E9,L$4&lt;=$F9),"■","")</f>
        <v/>
      </c>
      <c r="M9" s="54">
        <f>IF(AND(M$4&gt;=$E9,M$4&lt;=$F9),"■","")</f>
        <v/>
      </c>
      <c r="N9" s="54">
        <f>IF(AND(N$4&gt;=$E9,N$4&lt;=$F9),"■","")</f>
        <v/>
      </c>
      <c r="O9" s="54">
        <f>IF(AND(O$4&gt;=$E9,O$4&lt;=$F9),"■","")</f>
        <v/>
      </c>
      <c r="P9" s="54">
        <f>IF(AND(P$4&gt;=$E9,P$4&lt;=$F9),"■","")</f>
        <v/>
      </c>
      <c r="Q9" s="54">
        <f>IF(AND(Q$4&gt;=$E9,Q$4&lt;=$F9),"■","")</f>
        <v/>
      </c>
      <c r="R9" s="54">
        <f>IF(AND(R$4&gt;=$E9,R$4&lt;=$F9),"■","")</f>
        <v/>
      </c>
      <c r="S9" s="54">
        <f>IF(AND(S$4&gt;=$E9,S$4&lt;=$F9),"■","")</f>
        <v/>
      </c>
      <c r="T9" s="54">
        <f>IF(AND(T$4&gt;=$E9,T$4&lt;=$F9),"■","")</f>
        <v/>
      </c>
      <c r="U9" s="54">
        <f>IF(AND(U$4&gt;=$E9,U$4&lt;=$F9),"■","")</f>
        <v/>
      </c>
      <c r="V9" s="54">
        <f>IF(AND(V$4&gt;=$E9,V$4&lt;=$F9),"■","")</f>
        <v/>
      </c>
      <c r="W9" s="54">
        <f>IF(AND(W$4&gt;=$E9,W$4&lt;=$F9),"■","")</f>
        <v/>
      </c>
    </row>
    <row r="10" ht="15" customHeight="1" s="40">
      <c r="A10" s="48" t="inlineStr">
        <is>
          <t>T05</t>
        </is>
      </c>
      <c r="B10" s="49" t="inlineStr">
        <is>
          <t>전체</t>
        </is>
      </c>
      <c r="C10" s="50" t="inlineStr">
        <is>
          <t>전원</t>
        </is>
      </c>
      <c r="D10" s="50" t="inlineStr">
        <is>
          <t>전체 루프 리허설 (박스 10개 8단계 대본)</t>
        </is>
      </c>
      <c r="E10" s="51" t="n">
        <v>46308</v>
      </c>
      <c r="F10" s="51" t="n">
        <v>46309</v>
      </c>
      <c r="G10" s="48">
        <f>F10-E10+1</f>
        <v/>
      </c>
      <c r="H10" s="50" t="inlineStr">
        <is>
          <t>리허설 로그, NFR-01~03 실측값</t>
        </is>
      </c>
      <c r="I10" s="48" t="inlineStr">
        <is>
          <t>BRD 8.1</t>
        </is>
      </c>
      <c r="J10" s="52" t="inlineStr">
        <is>
          <t>예정</t>
        </is>
      </c>
      <c r="K10" s="53" t="n">
        <v>0</v>
      </c>
      <c r="L10" s="54">
        <f>IF(AND(L$4&gt;=$E10,L$4&lt;=$F10),"■","")</f>
        <v/>
      </c>
      <c r="M10" s="54">
        <f>IF(AND(M$4&gt;=$E10,M$4&lt;=$F10),"■","")</f>
        <v/>
      </c>
      <c r="N10" s="54">
        <f>IF(AND(N$4&gt;=$E10,N$4&lt;=$F10),"■","")</f>
        <v/>
      </c>
      <c r="O10" s="54">
        <f>IF(AND(O$4&gt;=$E10,O$4&lt;=$F10),"■","")</f>
        <v/>
      </c>
      <c r="P10" s="54">
        <f>IF(AND(P$4&gt;=$E10,P$4&lt;=$F10),"■","")</f>
        <v/>
      </c>
      <c r="Q10" s="54">
        <f>IF(AND(Q$4&gt;=$E10,Q$4&lt;=$F10),"■","")</f>
        <v/>
      </c>
      <c r="R10" s="54">
        <f>IF(AND(R$4&gt;=$E10,R$4&lt;=$F10),"■","")</f>
        <v/>
      </c>
      <c r="S10" s="54">
        <f>IF(AND(S$4&gt;=$E10,S$4&lt;=$F10),"■","")</f>
        <v/>
      </c>
      <c r="T10" s="54">
        <f>IF(AND(T$4&gt;=$E10,T$4&lt;=$F10),"■","")</f>
        <v/>
      </c>
      <c r="U10" s="54">
        <f>IF(AND(U$4&gt;=$E10,U$4&lt;=$F10),"■","")</f>
        <v/>
      </c>
      <c r="V10" s="54">
        <f>IF(AND(V$4&gt;=$E10,V$4&lt;=$F10),"■","")</f>
        <v/>
      </c>
      <c r="W10" s="54">
        <f>IF(AND(W$4&gt;=$E10,W$4&lt;=$F10),"■","")</f>
        <v/>
      </c>
    </row>
    <row r="11" ht="15" customHeight="1" s="40">
      <c r="A11" s="48" t="inlineStr">
        <is>
          <t>T06</t>
        </is>
      </c>
      <c r="B11" s="49" t="inlineStr">
        <is>
          <t>전체</t>
        </is>
      </c>
      <c r="C11" s="50" t="inlineStr">
        <is>
          <t>전원</t>
        </is>
      </c>
      <c r="D11" s="50" t="inlineStr">
        <is>
          <t>최종 리허설·시연 영상 촬영·시연</t>
        </is>
      </c>
      <c r="E11" s="51" t="n">
        <v>46310</v>
      </c>
      <c r="F11" s="51" t="n">
        <v>46310</v>
      </c>
      <c r="G11" s="48">
        <f>F11-E11+1</f>
        <v/>
      </c>
      <c r="H11" s="48" t="inlineStr">
        <is>
          <t>10개 중 8개 이상 적재</t>
        </is>
      </c>
      <c r="I11" s="48" t="inlineStr">
        <is>
          <t>SR-NF-06</t>
        </is>
      </c>
      <c r="J11" s="52" t="inlineStr">
        <is>
          <t>예정</t>
        </is>
      </c>
      <c r="K11" s="53" t="n">
        <v>0</v>
      </c>
      <c r="L11" s="54">
        <f>IF(AND(L$4&gt;=$E11,L$4&lt;=$F11),"■","")</f>
        <v/>
      </c>
      <c r="M11" s="54">
        <f>IF(AND(M$4&gt;=$E11,M$4&lt;=$F11),"■","")</f>
        <v/>
      </c>
      <c r="N11" s="54">
        <f>IF(AND(N$4&gt;=$E11,N$4&lt;=$F11),"■","")</f>
        <v/>
      </c>
      <c r="O11" s="54">
        <f>IF(AND(O$4&gt;=$E11,O$4&lt;=$F11),"■","")</f>
        <v/>
      </c>
      <c r="P11" s="54">
        <f>IF(AND(P$4&gt;=$E11,P$4&lt;=$F11),"■","")</f>
        <v/>
      </c>
      <c r="Q11" s="54">
        <f>IF(AND(Q$4&gt;=$E11,Q$4&lt;=$F11),"■","")</f>
        <v/>
      </c>
      <c r="R11" s="54">
        <f>IF(AND(R$4&gt;=$E11,R$4&lt;=$F11),"■","")</f>
        <v/>
      </c>
      <c r="S11" s="54">
        <f>IF(AND(S$4&gt;=$E11,S$4&lt;=$F11),"■","")</f>
        <v/>
      </c>
      <c r="T11" s="54">
        <f>IF(AND(T$4&gt;=$E11,T$4&lt;=$F11),"■","")</f>
        <v/>
      </c>
      <c r="U11" s="54">
        <f>IF(AND(U$4&gt;=$E11,U$4&lt;=$F11),"■","")</f>
        <v/>
      </c>
      <c r="V11" s="54">
        <f>IF(AND(V$4&gt;=$E11,V$4&lt;=$F11),"■","")</f>
        <v/>
      </c>
      <c r="W11" s="54">
        <f>IF(AND(W$4&gt;=$E11,W$4&lt;=$F11),"■","")</f>
        <v/>
      </c>
    </row>
    <row r="12" ht="15" customHeight="1" s="40">
      <c r="A12" s="48" t="inlineStr">
        <is>
          <t>T07</t>
        </is>
      </c>
      <c r="B12" s="49" t="inlineStr">
        <is>
          <t>전체</t>
        </is>
      </c>
      <c r="C12" s="50" t="inlineStr">
        <is>
          <t>전원</t>
        </is>
      </c>
      <c r="D12" s="50" t="inlineStr">
        <is>
          <t>발표 자료(PPT) 마무리·발표</t>
        </is>
      </c>
      <c r="E12" s="51" t="n">
        <v>46311</v>
      </c>
      <c r="F12" s="51" t="n">
        <v>46311</v>
      </c>
      <c r="G12" s="48">
        <f>F12-E12+1</f>
        <v/>
      </c>
      <c r="H12" s="50" t="inlineStr">
        <is>
          <t>발표 완료</t>
        </is>
      </c>
      <c r="I12" s="48" t="inlineStr">
        <is>
          <t>BRD 8.3</t>
        </is>
      </c>
      <c r="J12" s="52" t="inlineStr">
        <is>
          <t>예정</t>
        </is>
      </c>
      <c r="K12" s="53" t="n">
        <v>0</v>
      </c>
      <c r="L12" s="54">
        <f>IF(AND(L$4&gt;=$E12,L$4&lt;=$F12),"■","")</f>
        <v/>
      </c>
      <c r="M12" s="54">
        <f>IF(AND(M$4&gt;=$E12,M$4&lt;=$F12),"■","")</f>
        <v/>
      </c>
      <c r="N12" s="54">
        <f>IF(AND(N$4&gt;=$E12,N$4&lt;=$F12),"■","")</f>
        <v/>
      </c>
      <c r="O12" s="54">
        <f>IF(AND(O$4&gt;=$E12,O$4&lt;=$F12),"■","")</f>
        <v/>
      </c>
      <c r="P12" s="54">
        <f>IF(AND(P$4&gt;=$E12,P$4&lt;=$F12),"■","")</f>
        <v/>
      </c>
      <c r="Q12" s="54">
        <f>IF(AND(Q$4&gt;=$E12,Q$4&lt;=$F12),"■","")</f>
        <v/>
      </c>
      <c r="R12" s="54">
        <f>IF(AND(R$4&gt;=$E12,R$4&lt;=$F12),"■","")</f>
        <v/>
      </c>
      <c r="S12" s="54">
        <f>IF(AND(S$4&gt;=$E12,S$4&lt;=$F12),"■","")</f>
        <v/>
      </c>
      <c r="T12" s="54">
        <f>IF(AND(T$4&gt;=$E12,T$4&lt;=$F12),"■","")</f>
        <v/>
      </c>
      <c r="U12" s="54">
        <f>IF(AND(U$4&gt;=$E12,U$4&lt;=$F12),"■","")</f>
        <v/>
      </c>
      <c r="V12" s="54">
        <f>IF(AND(V$4&gt;=$E12,V$4&lt;=$F12),"■","")</f>
        <v/>
      </c>
      <c r="W12" s="54">
        <f>IF(AND(W$4&gt;=$E12,W$4&lt;=$F12),"■","")</f>
        <v/>
      </c>
    </row>
    <row r="13" ht="23.85" customHeight="1" s="40">
      <c r="A13" s="48" t="inlineStr">
        <is>
          <t>T08</t>
        </is>
      </c>
      <c r="B13" s="55" t="inlineStr">
        <is>
          <t>음성·웹·HMI</t>
        </is>
      </c>
      <c r="C13" s="50" t="inlineStr">
        <is>
          <t>정의석</t>
        </is>
      </c>
      <c r="D13" s="48" t="inlineStr">
        <is>
          <t>voice_listener: 호출어 검출 + Whisper 로컬 STT</t>
        </is>
      </c>
      <c r="E13" s="51" t="n">
        <v>46301</v>
      </c>
      <c r="F13" s="51" t="n">
        <v>46302</v>
      </c>
      <c r="G13" s="48">
        <f>F13-E13+1</f>
        <v/>
      </c>
      <c r="H13" s="50" t="inlineStr">
        <is>
          <t>녹음 파일 20개 전사 ≥ 90%</t>
        </is>
      </c>
      <c r="I13" s="48" t="inlineStr">
        <is>
          <t>SR-FN-13, SR-SW-10·11</t>
        </is>
      </c>
      <c r="J13" s="52" t="inlineStr">
        <is>
          <t>예정</t>
        </is>
      </c>
      <c r="K13" s="53" t="n">
        <v>0</v>
      </c>
      <c r="L13" s="56">
        <f>IF(AND(L$4&gt;=$E13,L$4&lt;=$F13),"■","")</f>
        <v/>
      </c>
      <c r="M13" s="56">
        <f>IF(AND(M$4&gt;=$E13,M$4&lt;=$F13),"■","")</f>
        <v/>
      </c>
      <c r="N13" s="56">
        <f>IF(AND(N$4&gt;=$E13,N$4&lt;=$F13),"■","")</f>
        <v/>
      </c>
      <c r="O13" s="56">
        <f>IF(AND(O$4&gt;=$E13,O$4&lt;=$F13),"■","")</f>
        <v/>
      </c>
      <c r="P13" s="56">
        <f>IF(AND(P$4&gt;=$E13,P$4&lt;=$F13),"■","")</f>
        <v/>
      </c>
      <c r="Q13" s="56">
        <f>IF(AND(Q$4&gt;=$E13,Q$4&lt;=$F13),"■","")</f>
        <v/>
      </c>
      <c r="R13" s="56">
        <f>IF(AND(R$4&gt;=$E13,R$4&lt;=$F13),"■","")</f>
        <v/>
      </c>
      <c r="S13" s="56">
        <f>IF(AND(S$4&gt;=$E13,S$4&lt;=$F13),"■","")</f>
        <v/>
      </c>
      <c r="T13" s="56">
        <f>IF(AND(T$4&gt;=$E13,T$4&lt;=$F13),"■","")</f>
        <v/>
      </c>
      <c r="U13" s="56">
        <f>IF(AND(U$4&gt;=$E13,U$4&lt;=$F13),"■","")</f>
        <v/>
      </c>
      <c r="V13" s="56">
        <f>IF(AND(V$4&gt;=$E13,V$4&lt;=$F13),"■","")</f>
        <v/>
      </c>
      <c r="W13" s="56">
        <f>IF(AND(W$4&gt;=$E13,W$4&lt;=$F13),"■","")</f>
        <v/>
      </c>
    </row>
    <row r="14" ht="15" customHeight="1" s="40">
      <c r="A14" s="48" t="inlineStr">
        <is>
          <t>T09</t>
        </is>
      </c>
      <c r="B14" s="55" t="inlineStr">
        <is>
          <t>음성·웹·HMI</t>
        </is>
      </c>
      <c r="C14" s="50" t="inlineStr">
        <is>
          <t>정의석</t>
        </is>
      </c>
      <c r="D14" s="48" t="inlineStr">
        <is>
          <t>intent_parser: LangChain·OpenAI intent JSON + 허용 목록 검증</t>
        </is>
      </c>
      <c r="E14" s="51" t="n">
        <v>46301</v>
      </c>
      <c r="F14" s="51" t="n">
        <v>46303</v>
      </c>
      <c r="G14" s="48">
        <f>F14-E14+1</f>
        <v/>
      </c>
      <c r="H14" s="50" t="inlineStr">
        <is>
          <t>지시 20개 중 19개 정확</t>
        </is>
      </c>
      <c r="I14" s="48" t="inlineStr">
        <is>
          <t>SR-FN-14, SR-SW-12</t>
        </is>
      </c>
      <c r="J14" s="52" t="inlineStr">
        <is>
          <t>예정</t>
        </is>
      </c>
      <c r="K14" s="53" t="n">
        <v>0</v>
      </c>
      <c r="L14" s="56">
        <f>IF(AND(L$4&gt;=$E14,L$4&lt;=$F14),"■","")</f>
        <v/>
      </c>
      <c r="M14" s="56">
        <f>IF(AND(M$4&gt;=$E14,M$4&lt;=$F14),"■","")</f>
        <v/>
      </c>
      <c r="N14" s="56">
        <f>IF(AND(N$4&gt;=$E14,N$4&lt;=$F14),"■","")</f>
        <v/>
      </c>
      <c r="O14" s="56">
        <f>IF(AND(O$4&gt;=$E14,O$4&lt;=$F14),"■","")</f>
        <v/>
      </c>
      <c r="P14" s="56">
        <f>IF(AND(P$4&gt;=$E14,P$4&lt;=$F14),"■","")</f>
        <v/>
      </c>
      <c r="Q14" s="56">
        <f>IF(AND(Q$4&gt;=$E14,Q$4&lt;=$F14),"■","")</f>
        <v/>
      </c>
      <c r="R14" s="56">
        <f>IF(AND(R$4&gt;=$E14,R$4&lt;=$F14),"■","")</f>
        <v/>
      </c>
      <c r="S14" s="56">
        <f>IF(AND(S$4&gt;=$E14,S$4&lt;=$F14),"■","")</f>
        <v/>
      </c>
      <c r="T14" s="56">
        <f>IF(AND(T$4&gt;=$E14,T$4&lt;=$F14),"■","")</f>
        <v/>
      </c>
      <c r="U14" s="56">
        <f>IF(AND(U$4&gt;=$E14,U$4&lt;=$F14),"■","")</f>
        <v/>
      </c>
      <c r="V14" s="56">
        <f>IF(AND(V$4&gt;=$E14,V$4&lt;=$F14),"■","")</f>
        <v/>
      </c>
      <c r="W14" s="56">
        <f>IF(AND(W$4&gt;=$E14,W$4&lt;=$F14),"■","")</f>
        <v/>
      </c>
    </row>
    <row r="15" ht="15" customHeight="1" s="40">
      <c r="A15" s="48" t="inlineStr">
        <is>
          <t>T10</t>
        </is>
      </c>
      <c r="B15" s="55" t="inlineStr">
        <is>
          <t>음성·웹·HMI</t>
        </is>
      </c>
      <c r="C15" s="50" t="inlineStr">
        <is>
          <t>정의석</t>
        </is>
      </c>
      <c r="D15" s="48" t="inlineStr">
        <is>
          <t>speech_out: TTS 엔진 선정·연동</t>
        </is>
      </c>
      <c r="E15" s="51" t="n">
        <v>46303</v>
      </c>
      <c r="F15" s="51" t="n">
        <v>46303</v>
      </c>
      <c r="G15" s="48">
        <f>F15-E15+1</f>
        <v/>
      </c>
      <c r="H15" s="50" t="inlineStr">
        <is>
          <t>발화 → 응답 ≤ 3초</t>
        </is>
      </c>
      <c r="I15" s="48" t="inlineStr">
        <is>
          <t>SR-SW-13</t>
        </is>
      </c>
      <c r="J15" s="52" t="inlineStr">
        <is>
          <t>예정</t>
        </is>
      </c>
      <c r="K15" s="53" t="n">
        <v>0</v>
      </c>
      <c r="L15" s="56">
        <f>IF(AND(L$4&gt;=$E15,L$4&lt;=$F15),"■","")</f>
        <v/>
      </c>
      <c r="M15" s="56">
        <f>IF(AND(M$4&gt;=$E15,M$4&lt;=$F15),"■","")</f>
        <v/>
      </c>
      <c r="N15" s="56">
        <f>IF(AND(N$4&gt;=$E15,N$4&lt;=$F15),"■","")</f>
        <v/>
      </c>
      <c r="O15" s="56">
        <f>IF(AND(O$4&gt;=$E15,O$4&lt;=$F15),"■","")</f>
        <v/>
      </c>
      <c r="P15" s="56">
        <f>IF(AND(P$4&gt;=$E15,P$4&lt;=$F15),"■","")</f>
        <v/>
      </c>
      <c r="Q15" s="56">
        <f>IF(AND(Q$4&gt;=$E15,Q$4&lt;=$F15),"■","")</f>
        <v/>
      </c>
      <c r="R15" s="56">
        <f>IF(AND(R$4&gt;=$E15,R$4&lt;=$F15),"■","")</f>
        <v/>
      </c>
      <c r="S15" s="56">
        <f>IF(AND(S$4&gt;=$E15,S$4&lt;=$F15),"■","")</f>
        <v/>
      </c>
      <c r="T15" s="56">
        <f>IF(AND(T$4&gt;=$E15,T$4&lt;=$F15),"■","")</f>
        <v/>
      </c>
      <c r="U15" s="56">
        <f>IF(AND(U$4&gt;=$E15,U$4&lt;=$F15),"■","")</f>
        <v/>
      </c>
      <c r="V15" s="56">
        <f>IF(AND(V$4&gt;=$E15,V$4&lt;=$F15),"■","")</f>
        <v/>
      </c>
      <c r="W15" s="56">
        <f>IF(AND(W$4&gt;=$E15,W$4&lt;=$F15),"■","")</f>
        <v/>
      </c>
    </row>
    <row r="16" ht="15" customHeight="1" s="40">
      <c r="A16" s="48" t="inlineStr">
        <is>
          <t>T11</t>
        </is>
      </c>
      <c r="B16" s="55" t="inlineStr">
        <is>
          <t>음성·웹·HMI</t>
        </is>
      </c>
      <c r="C16" s="50" t="inlineStr">
        <is>
          <t>정의석</t>
        </is>
      </c>
      <c r="D16" s="48" t="inlineStr">
        <is>
          <t>Mosquitto 브로커·hmi_bridge, MQTT JSON 스키마 확정</t>
        </is>
      </c>
      <c r="E16" s="51" t="n">
        <v>46303</v>
      </c>
      <c r="F16" s="51" t="n">
        <v>46305</v>
      </c>
      <c r="G16" s="48">
        <f>F16-E16+1</f>
        <v/>
      </c>
      <c r="H16" s="48" t="inlineStr">
        <is>
          <t>voss/state·command 왕복 확인</t>
        </is>
      </c>
      <c r="I16" s="48" t="inlineStr">
        <is>
          <t>SR-SW-16, SR-IF-10</t>
        </is>
      </c>
      <c r="J16" s="52" t="inlineStr">
        <is>
          <t>예정</t>
        </is>
      </c>
      <c r="K16" s="53" t="n">
        <v>0</v>
      </c>
      <c r="L16" s="56">
        <f>IF(AND(L$4&gt;=$E16,L$4&lt;=$F16),"■","")</f>
        <v/>
      </c>
      <c r="M16" s="56">
        <f>IF(AND(M$4&gt;=$E16,M$4&lt;=$F16),"■","")</f>
        <v/>
      </c>
      <c r="N16" s="56">
        <f>IF(AND(N$4&gt;=$E16,N$4&lt;=$F16),"■","")</f>
        <v/>
      </c>
      <c r="O16" s="56">
        <f>IF(AND(O$4&gt;=$E16,O$4&lt;=$F16),"■","")</f>
        <v/>
      </c>
      <c r="P16" s="56">
        <f>IF(AND(P$4&gt;=$E16,P$4&lt;=$F16),"■","")</f>
        <v/>
      </c>
      <c r="Q16" s="56">
        <f>IF(AND(Q$4&gt;=$E16,Q$4&lt;=$F16),"■","")</f>
        <v/>
      </c>
      <c r="R16" s="56">
        <f>IF(AND(R$4&gt;=$E16,R$4&lt;=$F16),"■","")</f>
        <v/>
      </c>
      <c r="S16" s="56">
        <f>IF(AND(S$4&gt;=$E16,S$4&lt;=$F16),"■","")</f>
        <v/>
      </c>
      <c r="T16" s="56">
        <f>IF(AND(T$4&gt;=$E16,T$4&lt;=$F16),"■","")</f>
        <v/>
      </c>
      <c r="U16" s="56">
        <f>IF(AND(U$4&gt;=$E16,U$4&lt;=$F16),"■","")</f>
        <v/>
      </c>
      <c r="V16" s="56">
        <f>IF(AND(V$4&gt;=$E16,V$4&lt;=$F16),"■","")</f>
        <v/>
      </c>
      <c r="W16" s="56">
        <f>IF(AND(W$4&gt;=$E16,W$4&lt;=$F16),"■","")</f>
        <v/>
      </c>
    </row>
    <row r="17" ht="15" customHeight="1" s="40">
      <c r="A17" s="48" t="inlineStr">
        <is>
          <t>T12</t>
        </is>
      </c>
      <c r="B17" s="55" t="inlineStr">
        <is>
          <t>음성·웹·HMI</t>
        </is>
      </c>
      <c r="C17" s="50" t="inlineStr">
        <is>
          <t>정의석</t>
        </is>
      </c>
      <c r="D17" s="48" t="inlineStr">
        <is>
          <t>sort_logger·DB 컨테이너 (DB 종류 결정)</t>
        </is>
      </c>
      <c r="E17" s="51" t="n">
        <v>46304</v>
      </c>
      <c r="F17" s="51" t="n">
        <v>46306</v>
      </c>
      <c r="G17" s="48">
        <f>F17-E17+1</f>
        <v/>
      </c>
      <c r="H17" s="50" t="inlineStr">
        <is>
          <t>결과 토픽 1건 → DB 1행</t>
        </is>
      </c>
      <c r="I17" s="48" t="inlineStr">
        <is>
          <t>SR-FN-20, SR-SW-18</t>
        </is>
      </c>
      <c r="J17" s="52" t="inlineStr">
        <is>
          <t>예정</t>
        </is>
      </c>
      <c r="K17" s="53" t="n">
        <v>0</v>
      </c>
      <c r="L17" s="56">
        <f>IF(AND(L$4&gt;=$E17,L$4&lt;=$F17),"■","")</f>
        <v/>
      </c>
      <c r="M17" s="56">
        <f>IF(AND(M$4&gt;=$E17,M$4&lt;=$F17),"■","")</f>
        <v/>
      </c>
      <c r="N17" s="56">
        <f>IF(AND(N$4&gt;=$E17,N$4&lt;=$F17),"■","")</f>
        <v/>
      </c>
      <c r="O17" s="56">
        <f>IF(AND(O$4&gt;=$E17,O$4&lt;=$F17),"■","")</f>
        <v/>
      </c>
      <c r="P17" s="56">
        <f>IF(AND(P$4&gt;=$E17,P$4&lt;=$F17),"■","")</f>
        <v/>
      </c>
      <c r="Q17" s="56">
        <f>IF(AND(Q$4&gt;=$E17,Q$4&lt;=$F17),"■","")</f>
        <v/>
      </c>
      <c r="R17" s="56">
        <f>IF(AND(R$4&gt;=$E17,R$4&lt;=$F17),"■","")</f>
        <v/>
      </c>
      <c r="S17" s="56">
        <f>IF(AND(S$4&gt;=$E17,S$4&lt;=$F17),"■","")</f>
        <v/>
      </c>
      <c r="T17" s="56">
        <f>IF(AND(T$4&gt;=$E17,T$4&lt;=$F17),"■","")</f>
        <v/>
      </c>
      <c r="U17" s="56">
        <f>IF(AND(U$4&gt;=$E17,U$4&lt;=$F17),"■","")</f>
        <v/>
      </c>
      <c r="V17" s="56">
        <f>IF(AND(V$4&gt;=$E17,V$4&lt;=$F17),"■","")</f>
        <v/>
      </c>
      <c r="W17" s="56">
        <f>IF(AND(W$4&gt;=$E17,W$4&lt;=$F17),"■","")</f>
        <v/>
      </c>
    </row>
    <row r="18" ht="29.85" customHeight="1" s="40">
      <c r="A18" s="48" t="inlineStr">
        <is>
          <t>T13</t>
        </is>
      </c>
      <c r="B18" s="55" t="inlineStr">
        <is>
          <t>음성·웹·HMI</t>
        </is>
      </c>
      <c r="C18" s="50" t="inlineStr">
        <is>
          <t>정의석</t>
        </is>
      </c>
      <c r="D18" s="50" t="inlineStr">
        <is>
          <t>웹 HMI: 운전·분류 버튼, 투입 수량, 집계, 보류 목록, OCR 결과, 로봇 상태</t>
        </is>
      </c>
      <c r="E18" s="51" t="n">
        <v>46305</v>
      </c>
      <c r="F18" s="51" t="n">
        <v>46308</v>
      </c>
      <c r="G18" s="48">
        <f>F18-E18+1</f>
        <v/>
      </c>
      <c r="H18" s="48" t="inlineStr">
        <is>
          <t>HMI 반영 ≤ 1초</t>
        </is>
      </c>
      <c r="I18" s="48" t="inlineStr">
        <is>
          <t>SR-FN-19, SR-SW-17</t>
        </is>
      </c>
      <c r="J18" s="52" t="inlineStr">
        <is>
          <t>예정</t>
        </is>
      </c>
      <c r="K18" s="53" t="n">
        <v>0</v>
      </c>
      <c r="L18" s="56">
        <f>IF(AND(L$4&gt;=$E18,L$4&lt;=$F18),"■","")</f>
        <v/>
      </c>
      <c r="M18" s="56">
        <f>IF(AND(M$4&gt;=$E18,M$4&lt;=$F18),"■","")</f>
        <v/>
      </c>
      <c r="N18" s="56">
        <f>IF(AND(N$4&gt;=$E18,N$4&lt;=$F18),"■","")</f>
        <v/>
      </c>
      <c r="O18" s="56">
        <f>IF(AND(O$4&gt;=$E18,O$4&lt;=$F18),"■","")</f>
        <v/>
      </c>
      <c r="P18" s="56">
        <f>IF(AND(P$4&gt;=$E18,P$4&lt;=$F18),"■","")</f>
        <v/>
      </c>
      <c r="Q18" s="56">
        <f>IF(AND(Q$4&gt;=$E18,Q$4&lt;=$F18),"■","")</f>
        <v/>
      </c>
      <c r="R18" s="56">
        <f>IF(AND(R$4&gt;=$E18,R$4&lt;=$F18),"■","")</f>
        <v/>
      </c>
      <c r="S18" s="56">
        <f>IF(AND(S$4&gt;=$E18,S$4&lt;=$F18),"■","")</f>
        <v/>
      </c>
      <c r="T18" s="56">
        <f>IF(AND(T$4&gt;=$E18,T$4&lt;=$F18),"■","")</f>
        <v/>
      </c>
      <c r="U18" s="56">
        <f>IF(AND(U$4&gt;=$E18,U$4&lt;=$F18),"■","")</f>
        <v/>
      </c>
      <c r="V18" s="56">
        <f>IF(AND(V$4&gt;=$E18,V$4&lt;=$F18),"■","")</f>
        <v/>
      </c>
      <c r="W18" s="56">
        <f>IF(AND(W$4&gt;=$E18,W$4&lt;=$F18),"■","")</f>
        <v/>
      </c>
    </row>
    <row r="19" ht="15" customHeight="1" s="40">
      <c r="A19" s="48" t="inlineStr">
        <is>
          <t>T14</t>
        </is>
      </c>
      <c r="B19" s="55" t="inlineStr">
        <is>
          <t>음성·웹·HMI</t>
        </is>
      </c>
      <c r="C19" s="50" t="inlineStr">
        <is>
          <t>정의석</t>
        </is>
      </c>
      <c r="D19" s="50" t="inlineStr">
        <is>
          <t>전체 루프 연동: 음성 → sort_manager → TTS·HMI</t>
        </is>
      </c>
      <c r="E19" s="51" t="n">
        <v>46306</v>
      </c>
      <c r="F19" s="51" t="n">
        <v>46308</v>
      </c>
      <c r="G19" s="48">
        <f>F19-E19+1</f>
        <v/>
      </c>
      <c r="H19" s="50" t="inlineStr">
        <is>
          <t>지시 4종 각 1회 동작</t>
        </is>
      </c>
      <c r="I19" s="48" t="inlineStr">
        <is>
          <t>SR-FN-15</t>
        </is>
      </c>
      <c r="J19" s="52" t="inlineStr">
        <is>
          <t>예정</t>
        </is>
      </c>
      <c r="K19" s="53" t="n">
        <v>0</v>
      </c>
      <c r="L19" s="56">
        <f>IF(AND(L$4&gt;=$E19,L$4&lt;=$F19),"■","")</f>
        <v/>
      </c>
      <c r="M19" s="56">
        <f>IF(AND(M$4&gt;=$E19,M$4&lt;=$F19),"■","")</f>
        <v/>
      </c>
      <c r="N19" s="56">
        <f>IF(AND(N$4&gt;=$E19,N$4&lt;=$F19),"■","")</f>
        <v/>
      </c>
      <c r="O19" s="56">
        <f>IF(AND(O$4&gt;=$E19,O$4&lt;=$F19),"■","")</f>
        <v/>
      </c>
      <c r="P19" s="56">
        <f>IF(AND(P$4&gt;=$E19,P$4&lt;=$F19),"■","")</f>
        <v/>
      </c>
      <c r="Q19" s="56">
        <f>IF(AND(Q$4&gt;=$E19,Q$4&lt;=$F19),"■","")</f>
        <v/>
      </c>
      <c r="R19" s="56">
        <f>IF(AND(R$4&gt;=$E19,R$4&lt;=$F19),"■","")</f>
        <v/>
      </c>
      <c r="S19" s="56">
        <f>IF(AND(S$4&gt;=$E19,S$4&lt;=$F19),"■","")</f>
        <v/>
      </c>
      <c r="T19" s="56">
        <f>IF(AND(T$4&gt;=$E19,T$4&lt;=$F19),"■","")</f>
        <v/>
      </c>
      <c r="U19" s="56">
        <f>IF(AND(U$4&gt;=$E19,U$4&lt;=$F19),"■","")</f>
        <v/>
      </c>
      <c r="V19" s="56">
        <f>IF(AND(V$4&gt;=$E19,V$4&lt;=$F19),"■","")</f>
        <v/>
      </c>
      <c r="W19" s="56">
        <f>IF(AND(W$4&gt;=$E19,W$4&lt;=$F19),"■","")</f>
        <v/>
      </c>
    </row>
    <row r="20" ht="15" customHeight="1" s="40">
      <c r="A20" s="48" t="inlineStr">
        <is>
          <t>T15</t>
        </is>
      </c>
      <c r="B20" s="55" t="inlineStr">
        <is>
          <t>음성·웹·HMI</t>
        </is>
      </c>
      <c r="C20" s="50" t="inlineStr">
        <is>
          <t>정의석</t>
        </is>
      </c>
      <c r="D20" s="50" t="inlineStr">
        <is>
          <t>예외 처리·소음 대응·HMI 폴백 점검, 리허설</t>
        </is>
      </c>
      <c r="E20" s="51" t="n">
        <v>46309</v>
      </c>
      <c r="F20" s="51" t="n">
        <v>46310</v>
      </c>
      <c r="G20" s="48">
        <f>F20-E20+1</f>
        <v/>
      </c>
      <c r="H20" s="50" t="inlineStr">
        <is>
          <t>리허설 통과</t>
        </is>
      </c>
      <c r="I20" s="48" t="inlineStr">
        <is>
          <t>R-09, R-11</t>
        </is>
      </c>
      <c r="J20" s="52" t="inlineStr">
        <is>
          <t>예정</t>
        </is>
      </c>
      <c r="K20" s="53" t="n">
        <v>0</v>
      </c>
      <c r="L20" s="56">
        <f>IF(AND(L$4&gt;=$E20,L$4&lt;=$F20),"■","")</f>
        <v/>
      </c>
      <c r="M20" s="56">
        <f>IF(AND(M$4&gt;=$E20,M$4&lt;=$F20),"■","")</f>
        <v/>
      </c>
      <c r="N20" s="56">
        <f>IF(AND(N$4&gt;=$E20,N$4&lt;=$F20),"■","")</f>
        <v/>
      </c>
      <c r="O20" s="56">
        <f>IF(AND(O$4&gt;=$E20,O$4&lt;=$F20),"■","")</f>
        <v/>
      </c>
      <c r="P20" s="56">
        <f>IF(AND(P$4&gt;=$E20,P$4&lt;=$F20),"■","")</f>
        <v/>
      </c>
      <c r="Q20" s="56">
        <f>IF(AND(Q$4&gt;=$E20,Q$4&lt;=$F20),"■","")</f>
        <v/>
      </c>
      <c r="R20" s="56">
        <f>IF(AND(R$4&gt;=$E20,R$4&lt;=$F20),"■","")</f>
        <v/>
      </c>
      <c r="S20" s="56">
        <f>IF(AND(S$4&gt;=$E20,S$4&lt;=$F20),"■","")</f>
        <v/>
      </c>
      <c r="T20" s="56">
        <f>IF(AND(T$4&gt;=$E20,T$4&lt;=$F20),"■","")</f>
        <v/>
      </c>
      <c r="U20" s="56">
        <f>IF(AND(U$4&gt;=$E20,U$4&lt;=$F20),"■","")</f>
        <v/>
      </c>
      <c r="V20" s="56">
        <f>IF(AND(V$4&gt;=$E20,V$4&lt;=$F20),"■","")</f>
        <v/>
      </c>
      <c r="W20" s="56">
        <f>IF(AND(W$4&gt;=$E20,W$4&lt;=$F20),"■","")</f>
        <v/>
      </c>
    </row>
    <row r="21" ht="15" customHeight="1" s="40">
      <c r="A21" s="48" t="inlineStr">
        <is>
          <t>T16</t>
        </is>
      </c>
      <c r="B21" s="57" t="inlineStr">
        <is>
          <t>비전·OCR·통합</t>
        </is>
      </c>
      <c r="C21" s="50" t="inlineStr">
        <is>
          <t>남현지</t>
        </is>
      </c>
      <c r="D21" s="50" t="inlineStr">
        <is>
          <t>핸드아이 캘리브레이션 (로봇 제어와 함께)</t>
        </is>
      </c>
      <c r="E21" s="51" t="n">
        <v>46301</v>
      </c>
      <c r="F21" s="51" t="n">
        <v>46301</v>
      </c>
      <c r="G21" s="48">
        <f>F21-E21+1</f>
        <v/>
      </c>
      <c r="H21" s="50" t="inlineStr">
        <is>
          <t>검증점 오차 ≤ 5 mm</t>
        </is>
      </c>
      <c r="I21" s="48" t="inlineStr">
        <is>
          <t>SR-FN-02</t>
        </is>
      </c>
      <c r="J21" s="52" t="inlineStr">
        <is>
          <t>예정</t>
        </is>
      </c>
      <c r="K21" s="53" t="n">
        <v>0</v>
      </c>
      <c r="L21" s="58">
        <f>IF(AND(L$4&gt;=$E21,L$4&lt;=$F21),"■","")</f>
        <v/>
      </c>
      <c r="M21" s="58">
        <f>IF(AND(M$4&gt;=$E21,M$4&lt;=$F21),"■","")</f>
        <v/>
      </c>
      <c r="N21" s="58">
        <f>IF(AND(N$4&gt;=$E21,N$4&lt;=$F21),"■","")</f>
        <v/>
      </c>
      <c r="O21" s="58">
        <f>IF(AND(O$4&gt;=$E21,O$4&lt;=$F21),"■","")</f>
        <v/>
      </c>
      <c r="P21" s="58">
        <f>IF(AND(P$4&gt;=$E21,P$4&lt;=$F21),"■","")</f>
        <v/>
      </c>
      <c r="Q21" s="58">
        <f>IF(AND(Q$4&gt;=$E21,Q$4&lt;=$F21),"■","")</f>
        <v/>
      </c>
      <c r="R21" s="58">
        <f>IF(AND(R$4&gt;=$E21,R$4&lt;=$F21),"■","")</f>
        <v/>
      </c>
      <c r="S21" s="58">
        <f>IF(AND(S$4&gt;=$E21,S$4&lt;=$F21),"■","")</f>
        <v/>
      </c>
      <c r="T21" s="58">
        <f>IF(AND(T$4&gt;=$E21,T$4&lt;=$F21),"■","")</f>
        <v/>
      </c>
      <c r="U21" s="58">
        <f>IF(AND(U$4&gt;=$E21,U$4&lt;=$F21),"■","")</f>
        <v/>
      </c>
      <c r="V21" s="58">
        <f>IF(AND(V$4&gt;=$E21,V$4&lt;=$F21),"■","")</f>
        <v/>
      </c>
      <c r="W21" s="58">
        <f>IF(AND(W$4&gt;=$E21,W$4&lt;=$F21),"■","")</f>
        <v/>
      </c>
    </row>
    <row r="22" ht="26.85" customHeight="1" s="40">
      <c r="A22" s="48" t="inlineStr">
        <is>
          <t>T17</t>
        </is>
      </c>
      <c r="B22" s="57" t="inlineStr">
        <is>
          <t>비전·OCR·통합</t>
        </is>
      </c>
      <c r="C22" s="50" t="inlineStr">
        <is>
          <t>남현지</t>
        </is>
      </c>
      <c r="D22" s="50" t="inlineStr">
        <is>
          <t>박스 검출: 데이터 촬영·YOLO 학습 또는 세그멘테이션, box_tracker 30 Hz</t>
        </is>
      </c>
      <c r="E22" s="51" t="n">
        <v>46301</v>
      </c>
      <c r="F22" s="51" t="n">
        <v>46303</v>
      </c>
      <c r="G22" s="48">
        <f>F22-E22+1</f>
        <v/>
      </c>
      <c r="H22" s="50" t="inlineStr">
        <is>
          <t>검출률 ≥ 99%, 지연 ≤ 100 ms</t>
        </is>
      </c>
      <c r="I22" s="48" t="inlineStr">
        <is>
          <t>SR-FN-01, SR-SW-07</t>
        </is>
      </c>
      <c r="J22" s="52" t="inlineStr">
        <is>
          <t>예정</t>
        </is>
      </c>
      <c r="K22" s="53" t="n">
        <v>0</v>
      </c>
      <c r="L22" s="58">
        <f>IF(AND(L$4&gt;=$E22,L$4&lt;=$F22),"■","")</f>
        <v/>
      </c>
      <c r="M22" s="58">
        <f>IF(AND(M$4&gt;=$E22,M$4&lt;=$F22),"■","")</f>
        <v/>
      </c>
      <c r="N22" s="58">
        <f>IF(AND(N$4&gt;=$E22,N$4&lt;=$F22),"■","")</f>
        <v/>
      </c>
      <c r="O22" s="58">
        <f>IF(AND(O$4&gt;=$E22,O$4&lt;=$F22),"■","")</f>
        <v/>
      </c>
      <c r="P22" s="58">
        <f>IF(AND(P$4&gt;=$E22,P$4&lt;=$F22),"■","")</f>
        <v/>
      </c>
      <c r="Q22" s="58">
        <f>IF(AND(Q$4&gt;=$E22,Q$4&lt;=$F22),"■","")</f>
        <v/>
      </c>
      <c r="R22" s="58">
        <f>IF(AND(R$4&gt;=$E22,R$4&lt;=$F22),"■","")</f>
        <v/>
      </c>
      <c r="S22" s="58">
        <f>IF(AND(S$4&gt;=$E22,S$4&lt;=$F22),"■","")</f>
        <v/>
      </c>
      <c r="T22" s="58">
        <f>IF(AND(T$4&gt;=$E22,T$4&lt;=$F22),"■","")</f>
        <v/>
      </c>
      <c r="U22" s="58">
        <f>IF(AND(U$4&gt;=$E22,U$4&lt;=$F22),"■","")</f>
        <v/>
      </c>
      <c r="V22" s="58">
        <f>IF(AND(V$4&gt;=$E22,V$4&lt;=$F22),"■","")</f>
        <v/>
      </c>
      <c r="W22" s="58">
        <f>IF(AND(W$4&gt;=$E22,W$4&lt;=$F22),"■","")</f>
        <v/>
      </c>
    </row>
    <row r="23" ht="15" customHeight="1" s="40">
      <c r="A23" s="48" t="inlineStr">
        <is>
          <t>T18</t>
        </is>
      </c>
      <c r="B23" s="57" t="inlineStr">
        <is>
          <t>비전·OCR·통합</t>
        </is>
      </c>
      <c r="C23" s="50" t="inlineStr">
        <is>
          <t>남현지</t>
        </is>
      </c>
      <c r="D23" s="50" t="inlineStr">
        <is>
          <t>송장 샘플 OCR 검증 (PaddleOCR, 전처리, 퍼지 매칭)</t>
        </is>
      </c>
      <c r="E23" s="51" t="n">
        <v>46301</v>
      </c>
      <c r="F23" s="51" t="n">
        <v>46302</v>
      </c>
      <c r="G23" s="48">
        <f>F23-E23+1</f>
        <v/>
      </c>
      <c r="H23" s="50" t="inlineStr">
        <is>
          <t>정지 송장 50장 ≥ 95%</t>
        </is>
      </c>
      <c r="I23" s="48" t="inlineStr">
        <is>
          <t>SR-SW-08·09</t>
        </is>
      </c>
      <c r="J23" s="52" t="inlineStr">
        <is>
          <t>예정</t>
        </is>
      </c>
      <c r="K23" s="53" t="n">
        <v>0</v>
      </c>
      <c r="L23" s="58">
        <f>IF(AND(L$4&gt;=$E23,L$4&lt;=$F23),"■","")</f>
        <v/>
      </c>
      <c r="M23" s="58">
        <f>IF(AND(M$4&gt;=$E23,M$4&lt;=$F23),"■","")</f>
        <v/>
      </c>
      <c r="N23" s="58">
        <f>IF(AND(N$4&gt;=$E23,N$4&lt;=$F23),"■","")</f>
        <v/>
      </c>
      <c r="O23" s="58">
        <f>IF(AND(O$4&gt;=$E23,O$4&lt;=$F23),"■","")</f>
        <v/>
      </c>
      <c r="P23" s="58">
        <f>IF(AND(P$4&gt;=$E23,P$4&lt;=$F23),"■","")</f>
        <v/>
      </c>
      <c r="Q23" s="58">
        <f>IF(AND(Q$4&gt;=$E23,Q$4&lt;=$F23),"■","")</f>
        <v/>
      </c>
      <c r="R23" s="58">
        <f>IF(AND(R$4&gt;=$E23,R$4&lt;=$F23),"■","")</f>
        <v/>
      </c>
      <c r="S23" s="58">
        <f>IF(AND(S$4&gt;=$E23,S$4&lt;=$F23),"■","")</f>
        <v/>
      </c>
      <c r="T23" s="58">
        <f>IF(AND(T$4&gt;=$E23,T$4&lt;=$F23),"■","")</f>
        <v/>
      </c>
      <c r="U23" s="58">
        <f>IF(AND(U$4&gt;=$E23,U$4&lt;=$F23),"■","")</f>
        <v/>
      </c>
      <c r="V23" s="58">
        <f>IF(AND(V$4&gt;=$E23,V$4&lt;=$F23),"■","")</f>
        <v/>
      </c>
      <c r="W23" s="58">
        <f>IF(AND(W$4&gt;=$E23,W$4&lt;=$F23),"■","")</f>
        <v/>
      </c>
    </row>
    <row r="24" ht="15" customHeight="1" s="40">
      <c r="A24" s="48" t="inlineStr">
        <is>
          <t>T19</t>
        </is>
      </c>
      <c r="B24" s="57" t="inlineStr">
        <is>
          <t>비전·OCR·통합</t>
        </is>
      </c>
      <c r="C24" s="50" t="inlineStr">
        <is>
          <t>남현지</t>
        </is>
      </c>
      <c r="D24" s="48" t="inlineStr">
        <is>
          <t>label_reader: 1·2단계 OCR, 선명 프레임 선택, 다수결</t>
        </is>
      </c>
      <c r="E24" s="51" t="n">
        <v>46303</v>
      </c>
      <c r="F24" s="51" t="n">
        <v>46305</v>
      </c>
      <c r="G24" s="48">
        <f>F24-E24+1</f>
        <v/>
      </c>
      <c r="H24" s="50" t="inlineStr">
        <is>
          <t>추종 중 50장 ≥ 90%</t>
        </is>
      </c>
      <c r="I24" s="48" t="inlineStr">
        <is>
          <t>SR-FN-08~11</t>
        </is>
      </c>
      <c r="J24" s="52" t="inlineStr">
        <is>
          <t>예정</t>
        </is>
      </c>
      <c r="K24" s="53" t="n">
        <v>0</v>
      </c>
      <c r="L24" s="58">
        <f>IF(AND(L$4&gt;=$E24,L$4&lt;=$F24),"■","")</f>
        <v/>
      </c>
      <c r="M24" s="58">
        <f>IF(AND(M$4&gt;=$E24,M$4&lt;=$F24),"■","")</f>
        <v/>
      </c>
      <c r="N24" s="58">
        <f>IF(AND(N$4&gt;=$E24,N$4&lt;=$F24),"■","")</f>
        <v/>
      </c>
      <c r="O24" s="58">
        <f>IF(AND(O$4&gt;=$E24,O$4&lt;=$F24),"■","")</f>
        <v/>
      </c>
      <c r="P24" s="58">
        <f>IF(AND(P$4&gt;=$E24,P$4&lt;=$F24),"■","")</f>
        <v/>
      </c>
      <c r="Q24" s="58">
        <f>IF(AND(Q$4&gt;=$E24,Q$4&lt;=$F24),"■","")</f>
        <v/>
      </c>
      <c r="R24" s="58">
        <f>IF(AND(R$4&gt;=$E24,R$4&lt;=$F24),"■","")</f>
        <v/>
      </c>
      <c r="S24" s="58">
        <f>IF(AND(S$4&gt;=$E24,S$4&lt;=$F24),"■","")</f>
        <v/>
      </c>
      <c r="T24" s="58">
        <f>IF(AND(T$4&gt;=$E24,T$4&lt;=$F24),"■","")</f>
        <v/>
      </c>
      <c r="U24" s="58">
        <f>IF(AND(U$4&gt;=$E24,U$4&lt;=$F24),"■","")</f>
        <v/>
      </c>
      <c r="V24" s="58">
        <f>IF(AND(V$4&gt;=$E24,V$4&lt;=$F24),"■","")</f>
        <v/>
      </c>
      <c r="W24" s="58">
        <f>IF(AND(W$4&gt;=$E24,W$4&lt;=$F24),"■","")</f>
        <v/>
      </c>
    </row>
    <row r="25" ht="23.85" customHeight="1" s="40">
      <c r="A25" s="48" t="inlineStr">
        <is>
          <t>T20</t>
        </is>
      </c>
      <c r="B25" s="57" t="inlineStr">
        <is>
          <t>비전·OCR·통합</t>
        </is>
      </c>
      <c r="C25" s="50" t="inlineStr">
        <is>
          <t>남현지</t>
        </is>
      </c>
      <c r="D25" s="48" t="inlineStr">
        <is>
          <t>sort_manager FSM·voss_config.yaml·zone_map 토픽</t>
        </is>
      </c>
      <c r="E25" s="51" t="n">
        <v>46303</v>
      </c>
      <c r="F25" s="51" t="n">
        <v>46305</v>
      </c>
      <c r="G25" s="48">
        <f>F25-E25+1</f>
        <v/>
      </c>
      <c r="H25" s="48" t="inlineStr">
        <is>
          <t>6상태 전이 단독 시험 통과</t>
        </is>
      </c>
      <c r="I25" s="48" t="inlineStr">
        <is>
          <t>SR-SW-14·15, SR-IF-02~04</t>
        </is>
      </c>
      <c r="J25" s="52" t="inlineStr">
        <is>
          <t>예정</t>
        </is>
      </c>
      <c r="K25" s="53" t="n">
        <v>0</v>
      </c>
      <c r="L25" s="58">
        <f>IF(AND(L$4&gt;=$E25,L$4&lt;=$F25),"■","")</f>
        <v/>
      </c>
      <c r="M25" s="58">
        <f>IF(AND(M$4&gt;=$E25,M$4&lt;=$F25),"■","")</f>
        <v/>
      </c>
      <c r="N25" s="58">
        <f>IF(AND(N$4&gt;=$E25,N$4&lt;=$F25),"■","")</f>
        <v/>
      </c>
      <c r="O25" s="58">
        <f>IF(AND(O$4&gt;=$E25,O$4&lt;=$F25),"■","")</f>
        <v/>
      </c>
      <c r="P25" s="58">
        <f>IF(AND(P$4&gt;=$E25,P$4&lt;=$F25),"■","")</f>
        <v/>
      </c>
      <c r="Q25" s="58">
        <f>IF(AND(Q$4&gt;=$E25,Q$4&lt;=$F25),"■","")</f>
        <v/>
      </c>
      <c r="R25" s="58">
        <f>IF(AND(R$4&gt;=$E25,R$4&lt;=$F25),"■","")</f>
        <v/>
      </c>
      <c r="S25" s="58">
        <f>IF(AND(S$4&gt;=$E25,S$4&lt;=$F25),"■","")</f>
        <v/>
      </c>
      <c r="T25" s="58">
        <f>IF(AND(T$4&gt;=$E25,T$4&lt;=$F25),"■","")</f>
        <v/>
      </c>
      <c r="U25" s="58">
        <f>IF(AND(U$4&gt;=$E25,U$4&lt;=$F25),"■","")</f>
        <v/>
      </c>
      <c r="V25" s="58">
        <f>IF(AND(V$4&gt;=$E25,V$4&lt;=$F25),"■","")</f>
        <v/>
      </c>
      <c r="W25" s="58">
        <f>IF(AND(W$4&gt;=$E25,W$4&lt;=$F25),"■","")</f>
        <v/>
      </c>
    </row>
    <row r="26" ht="15" customHeight="1" s="40">
      <c r="A26" s="48" t="inlineStr">
        <is>
          <t>T21</t>
        </is>
      </c>
      <c r="B26" s="57" t="inlineStr">
        <is>
          <t>비전·OCR·통합</t>
        </is>
      </c>
      <c r="C26" s="50" t="inlineStr">
        <is>
          <t>남현지</t>
        </is>
      </c>
      <c r="D26" s="50" t="inlineStr">
        <is>
          <t>추종·파지 지원 (탐지 접점, 지연 오프셋 보정)</t>
        </is>
      </c>
      <c r="E26" s="51" t="n">
        <v>46303</v>
      </c>
      <c r="F26" s="51" t="n">
        <v>46305</v>
      </c>
      <c r="G26" s="48">
        <f>F26-E26+1</f>
        <v/>
      </c>
      <c r="H26" s="50" t="inlineStr">
        <is>
          <t>게이트 성공률 측정 참여</t>
        </is>
      </c>
      <c r="I26" s="48" t="inlineStr">
        <is>
          <t>R-05, R-15</t>
        </is>
      </c>
      <c r="J26" s="52" t="inlineStr">
        <is>
          <t>예정</t>
        </is>
      </c>
      <c r="K26" s="53" t="n">
        <v>0</v>
      </c>
      <c r="L26" s="58">
        <f>IF(AND(L$4&gt;=$E26,L$4&lt;=$F26),"■","")</f>
        <v/>
      </c>
      <c r="M26" s="58">
        <f>IF(AND(M$4&gt;=$E26,M$4&lt;=$F26),"■","")</f>
        <v/>
      </c>
      <c r="N26" s="58">
        <f>IF(AND(N$4&gt;=$E26,N$4&lt;=$F26),"■","")</f>
        <v/>
      </c>
      <c r="O26" s="58">
        <f>IF(AND(O$4&gt;=$E26,O$4&lt;=$F26),"■","")</f>
        <v/>
      </c>
      <c r="P26" s="58">
        <f>IF(AND(P$4&gt;=$E26,P$4&lt;=$F26),"■","")</f>
        <v/>
      </c>
      <c r="Q26" s="58">
        <f>IF(AND(Q$4&gt;=$E26,Q$4&lt;=$F26),"■","")</f>
        <v/>
      </c>
      <c r="R26" s="58">
        <f>IF(AND(R$4&gt;=$E26,R$4&lt;=$F26),"■","")</f>
        <v/>
      </c>
      <c r="S26" s="58">
        <f>IF(AND(S$4&gt;=$E26,S$4&lt;=$F26),"■","")</f>
        <v/>
      </c>
      <c r="T26" s="58">
        <f>IF(AND(T$4&gt;=$E26,T$4&lt;=$F26),"■","")</f>
        <v/>
      </c>
      <c r="U26" s="58">
        <f>IF(AND(U$4&gt;=$E26,U$4&lt;=$F26),"■","")</f>
        <v/>
      </c>
      <c r="V26" s="58">
        <f>IF(AND(V$4&gt;=$E26,V$4&lt;=$F26),"■","")</f>
        <v/>
      </c>
      <c r="W26" s="58">
        <f>IF(AND(W$4&gt;=$E26,W$4&lt;=$F26),"■","")</f>
        <v/>
      </c>
    </row>
    <row r="27" ht="15" customHeight="1" s="40">
      <c r="A27" s="48" t="inlineStr">
        <is>
          <t>T22</t>
        </is>
      </c>
      <c r="B27" s="57" t="inlineStr">
        <is>
          <t>비전·OCR·통합</t>
        </is>
      </c>
      <c r="C27" s="50" t="inlineStr">
        <is>
          <t>남현지</t>
        </is>
      </c>
      <c r="D27" s="50" t="inlineStr">
        <is>
          <t>비전 컨테이너 구성 (GPU, 마운트), 전체 루프 통합</t>
        </is>
      </c>
      <c r="E27" s="51" t="n">
        <v>46306</v>
      </c>
      <c r="F27" s="51" t="n">
        <v>46308</v>
      </c>
      <c r="G27" s="48">
        <f>F27-E27+1</f>
        <v/>
      </c>
      <c r="H27" s="50" t="inlineStr">
        <is>
          <t>스크립트 1회 기동</t>
        </is>
      </c>
      <c r="I27" s="48" t="inlineStr">
        <is>
          <t>SR-FN-21, SR-SW-19</t>
        </is>
      </c>
      <c r="J27" s="52" t="inlineStr">
        <is>
          <t>예정</t>
        </is>
      </c>
      <c r="K27" s="53" t="n">
        <v>0</v>
      </c>
      <c r="L27" s="58">
        <f>IF(AND(L$4&gt;=$E27,L$4&lt;=$F27),"■","")</f>
        <v/>
      </c>
      <c r="M27" s="58">
        <f>IF(AND(M$4&gt;=$E27,M$4&lt;=$F27),"■","")</f>
        <v/>
      </c>
      <c r="N27" s="58">
        <f>IF(AND(N$4&gt;=$E27,N$4&lt;=$F27),"■","")</f>
        <v/>
      </c>
      <c r="O27" s="58">
        <f>IF(AND(O$4&gt;=$E27,O$4&lt;=$F27),"■","")</f>
        <v/>
      </c>
      <c r="P27" s="58">
        <f>IF(AND(P$4&gt;=$E27,P$4&lt;=$F27),"■","")</f>
        <v/>
      </c>
      <c r="Q27" s="58">
        <f>IF(AND(Q$4&gt;=$E27,Q$4&lt;=$F27),"■","")</f>
        <v/>
      </c>
      <c r="R27" s="58">
        <f>IF(AND(R$4&gt;=$E27,R$4&lt;=$F27),"■","")</f>
        <v/>
      </c>
      <c r="S27" s="58">
        <f>IF(AND(S$4&gt;=$E27,S$4&lt;=$F27),"■","")</f>
        <v/>
      </c>
      <c r="T27" s="58">
        <f>IF(AND(T$4&gt;=$E27,T$4&lt;=$F27),"■","")</f>
        <v/>
      </c>
      <c r="U27" s="58">
        <f>IF(AND(U$4&gt;=$E27,U$4&lt;=$F27),"■","")</f>
        <v/>
      </c>
      <c r="V27" s="58">
        <f>IF(AND(V$4&gt;=$E27,V$4&lt;=$F27),"■","")</f>
        <v/>
      </c>
      <c r="W27" s="58">
        <f>IF(AND(W$4&gt;=$E27,W$4&lt;=$F27),"■","")</f>
        <v/>
      </c>
    </row>
    <row r="28" ht="15" customHeight="1" s="40">
      <c r="A28" s="48" t="inlineStr">
        <is>
          <t>T23</t>
        </is>
      </c>
      <c r="B28" s="57" t="inlineStr">
        <is>
          <t>비전·OCR·통합</t>
        </is>
      </c>
      <c r="C28" s="50" t="inlineStr">
        <is>
          <t>남현지</t>
        </is>
      </c>
      <c r="D28" s="50" t="inlineStr">
        <is>
          <t>재확인·질문·보류 흐름, 로그·성공률 집계, 시연 대본</t>
        </is>
      </c>
      <c r="E28" s="51" t="n">
        <v>46307</v>
      </c>
      <c r="F28" s="51" t="n">
        <v>46309</v>
      </c>
      <c r="G28" s="48">
        <f>F28-E28+1</f>
        <v/>
      </c>
      <c r="H28" s="50" t="inlineStr">
        <is>
          <t>흐린 송장 박스 완주 3회</t>
        </is>
      </c>
      <c r="I28" s="48" t="inlineStr">
        <is>
          <t>SR-FN-12, SR-NF-12</t>
        </is>
      </c>
      <c r="J28" s="52" t="inlineStr">
        <is>
          <t>예정</t>
        </is>
      </c>
      <c r="K28" s="53" t="n">
        <v>0</v>
      </c>
      <c r="L28" s="58">
        <f>IF(AND(L$4&gt;=$E28,L$4&lt;=$F28),"■","")</f>
        <v/>
      </c>
      <c r="M28" s="58">
        <f>IF(AND(M$4&gt;=$E28,M$4&lt;=$F28),"■","")</f>
        <v/>
      </c>
      <c r="N28" s="58">
        <f>IF(AND(N$4&gt;=$E28,N$4&lt;=$F28),"■","")</f>
        <v/>
      </c>
      <c r="O28" s="58">
        <f>IF(AND(O$4&gt;=$E28,O$4&lt;=$F28),"■","")</f>
        <v/>
      </c>
      <c r="P28" s="58">
        <f>IF(AND(P$4&gt;=$E28,P$4&lt;=$F28),"■","")</f>
        <v/>
      </c>
      <c r="Q28" s="58">
        <f>IF(AND(Q$4&gt;=$E28,Q$4&lt;=$F28),"■","")</f>
        <v/>
      </c>
      <c r="R28" s="58">
        <f>IF(AND(R$4&gt;=$E28,R$4&lt;=$F28),"■","")</f>
        <v/>
      </c>
      <c r="S28" s="58">
        <f>IF(AND(S$4&gt;=$E28,S$4&lt;=$F28),"■","")</f>
        <v/>
      </c>
      <c r="T28" s="58">
        <f>IF(AND(T$4&gt;=$E28,T$4&lt;=$F28),"■","")</f>
        <v/>
      </c>
      <c r="U28" s="58">
        <f>IF(AND(U$4&gt;=$E28,U$4&lt;=$F28),"■","")</f>
        <v/>
      </c>
      <c r="V28" s="58">
        <f>IF(AND(V$4&gt;=$E28,V$4&lt;=$F28),"■","")</f>
        <v/>
      </c>
      <c r="W28" s="58">
        <f>IF(AND(W$4&gt;=$E28,W$4&lt;=$F28),"■","")</f>
        <v/>
      </c>
    </row>
    <row r="29" ht="15" customHeight="1" s="40">
      <c r="A29" s="48" t="inlineStr">
        <is>
          <t>T24</t>
        </is>
      </c>
      <c r="B29" s="57" t="inlineStr">
        <is>
          <t>비전·OCR·통합</t>
        </is>
      </c>
      <c r="C29" s="50" t="inlineStr">
        <is>
          <t>남현지</t>
        </is>
      </c>
      <c r="D29" s="50" t="inlineStr">
        <is>
          <t>리허설·튜닝</t>
        </is>
      </c>
      <c r="E29" s="51" t="n">
        <v>46309</v>
      </c>
      <c r="F29" s="51" t="n">
        <v>46310</v>
      </c>
      <c r="G29" s="48">
        <f>F29-E29+1</f>
        <v/>
      </c>
      <c r="H29" s="50" t="inlineStr">
        <is>
          <t>리허설 통과</t>
        </is>
      </c>
      <c r="I29" s="48" t="inlineStr">
        <is>
          <t>SR-NF-06</t>
        </is>
      </c>
      <c r="J29" s="52" t="inlineStr">
        <is>
          <t>예정</t>
        </is>
      </c>
      <c r="K29" s="53" t="n">
        <v>0</v>
      </c>
      <c r="L29" s="58">
        <f>IF(AND(L$4&gt;=$E29,L$4&lt;=$F29),"■","")</f>
        <v/>
      </c>
      <c r="M29" s="58">
        <f>IF(AND(M$4&gt;=$E29,M$4&lt;=$F29),"■","")</f>
        <v/>
      </c>
      <c r="N29" s="58">
        <f>IF(AND(N$4&gt;=$E29,N$4&lt;=$F29),"■","")</f>
        <v/>
      </c>
      <c r="O29" s="58">
        <f>IF(AND(O$4&gt;=$E29,O$4&lt;=$F29),"■","")</f>
        <v/>
      </c>
      <c r="P29" s="58">
        <f>IF(AND(P$4&gt;=$E29,P$4&lt;=$F29),"■","")</f>
        <v/>
      </c>
      <c r="Q29" s="58">
        <f>IF(AND(Q$4&gt;=$E29,Q$4&lt;=$F29),"■","")</f>
        <v/>
      </c>
      <c r="R29" s="58">
        <f>IF(AND(R$4&gt;=$E29,R$4&lt;=$F29),"■","")</f>
        <v/>
      </c>
      <c r="S29" s="58">
        <f>IF(AND(S$4&gt;=$E29,S$4&lt;=$F29),"■","")</f>
        <v/>
      </c>
      <c r="T29" s="58">
        <f>IF(AND(T$4&gt;=$E29,T$4&lt;=$F29),"■","")</f>
        <v/>
      </c>
      <c r="U29" s="58">
        <f>IF(AND(U$4&gt;=$E29,U$4&lt;=$F29),"■","")</f>
        <v/>
      </c>
      <c r="V29" s="58">
        <f>IF(AND(V$4&gt;=$E29,V$4&lt;=$F29),"■","")</f>
        <v/>
      </c>
      <c r="W29" s="58">
        <f>IF(AND(W$4&gt;=$E29,W$4&lt;=$F29),"■","")</f>
        <v/>
      </c>
    </row>
    <row r="30" ht="15" customHeight="1" s="40">
      <c r="A30" s="48" t="inlineStr">
        <is>
          <t>T25</t>
        </is>
      </c>
      <c r="B30" s="59" t="inlineStr">
        <is>
          <t>추종·파지</t>
        </is>
      </c>
      <c r="C30" s="50" t="inlineStr">
        <is>
          <t>박병후</t>
        </is>
      </c>
      <c r="D30" s="50" t="inlineStr">
        <is>
          <t>서보 스트리밍 토픽 확인 (dsr_msgs2), 제어 방식 결정</t>
        </is>
      </c>
      <c r="E30" s="51" t="n">
        <v>46301</v>
      </c>
      <c r="F30" s="51" t="n">
        <v>46301</v>
      </c>
      <c r="G30" s="48">
        <f>F30-E30+1</f>
        <v/>
      </c>
      <c r="H30" s="48" t="inlineStr">
        <is>
          <t>servol_stream 유무 기록</t>
        </is>
      </c>
      <c r="I30" s="48" t="inlineStr">
        <is>
          <t>SR-SW-04, SR-IF-09</t>
        </is>
      </c>
      <c r="J30" s="52" t="inlineStr">
        <is>
          <t>예정</t>
        </is>
      </c>
      <c r="K30" s="53" t="n">
        <v>0</v>
      </c>
      <c r="L30" s="60">
        <f>IF(AND(L$4&gt;=$E30,L$4&lt;=$F30),"■","")</f>
        <v/>
      </c>
      <c r="M30" s="60">
        <f>IF(AND(M$4&gt;=$E30,M$4&lt;=$F30),"■","")</f>
        <v/>
      </c>
      <c r="N30" s="60">
        <f>IF(AND(N$4&gt;=$E30,N$4&lt;=$F30),"■","")</f>
        <v/>
      </c>
      <c r="O30" s="60">
        <f>IF(AND(O$4&gt;=$E30,O$4&lt;=$F30),"■","")</f>
        <v/>
      </c>
      <c r="P30" s="60">
        <f>IF(AND(P$4&gt;=$E30,P$4&lt;=$F30),"■","")</f>
        <v/>
      </c>
      <c r="Q30" s="60">
        <f>IF(AND(Q$4&gt;=$E30,Q$4&lt;=$F30),"■","")</f>
        <v/>
      </c>
      <c r="R30" s="60">
        <f>IF(AND(R$4&gt;=$E30,R$4&lt;=$F30),"■","")</f>
        <v/>
      </c>
      <c r="S30" s="60">
        <f>IF(AND(S$4&gt;=$E30,S$4&lt;=$F30),"■","")</f>
        <v/>
      </c>
      <c r="T30" s="60">
        <f>IF(AND(T$4&gt;=$E30,T$4&lt;=$F30),"■","")</f>
        <v/>
      </c>
      <c r="U30" s="60">
        <f>IF(AND(U$4&gt;=$E30,U$4&lt;=$F30),"■","")</f>
        <v/>
      </c>
      <c r="V30" s="60">
        <f>IF(AND(V$4&gt;=$E30,V$4&lt;=$F30),"■","")</f>
        <v/>
      </c>
      <c r="W30" s="60">
        <f>IF(AND(W$4&gt;=$E30,W$4&lt;=$F30),"■","")</f>
        <v/>
      </c>
    </row>
    <row r="31" ht="15" customHeight="1" s="40">
      <c r="A31" s="48" t="inlineStr">
        <is>
          <t>T26</t>
        </is>
      </c>
      <c r="B31" s="59" t="inlineStr">
        <is>
          <t>추종·파지</t>
        </is>
      </c>
      <c r="C31" s="50" t="inlineStr">
        <is>
          <t>박병후</t>
        </is>
      </c>
      <c r="D31" s="50" t="inlineStr">
        <is>
          <t>개루프 동기 추종 (벨트 속도 피드포워드) 베이스라인</t>
        </is>
      </c>
      <c r="E31" s="51" t="n">
        <v>46302</v>
      </c>
      <c r="F31" s="51" t="n">
        <v>46303</v>
      </c>
      <c r="G31" s="48">
        <f>F31-E31+1</f>
        <v/>
      </c>
      <c r="H31" s="50" t="inlineStr">
        <is>
          <t>벨트 위 박스 파지 1회 성공</t>
        </is>
      </c>
      <c r="I31" s="48" t="inlineStr">
        <is>
          <t>SR-FN-04</t>
        </is>
      </c>
      <c r="J31" s="52" t="inlineStr">
        <is>
          <t>예정</t>
        </is>
      </c>
      <c r="K31" s="53" t="n">
        <v>0</v>
      </c>
      <c r="L31" s="60">
        <f>IF(AND(L$4&gt;=$E31,L$4&lt;=$F31),"■","")</f>
        <v/>
      </c>
      <c r="M31" s="60">
        <f>IF(AND(M$4&gt;=$E31,M$4&lt;=$F31),"■","")</f>
        <v/>
      </c>
      <c r="N31" s="60">
        <f>IF(AND(N$4&gt;=$E31,N$4&lt;=$F31),"■","")</f>
        <v/>
      </c>
      <c r="O31" s="60">
        <f>IF(AND(O$4&gt;=$E31,O$4&lt;=$F31),"■","")</f>
        <v/>
      </c>
      <c r="P31" s="60">
        <f>IF(AND(P$4&gt;=$E31,P$4&lt;=$F31),"■","")</f>
        <v/>
      </c>
      <c r="Q31" s="60">
        <f>IF(AND(Q$4&gt;=$E31,Q$4&lt;=$F31),"■","")</f>
        <v/>
      </c>
      <c r="R31" s="60">
        <f>IF(AND(R$4&gt;=$E31,R$4&lt;=$F31),"■","")</f>
        <v/>
      </c>
      <c r="S31" s="60">
        <f>IF(AND(S$4&gt;=$E31,S$4&lt;=$F31),"■","")</f>
        <v/>
      </c>
      <c r="T31" s="60">
        <f>IF(AND(T$4&gt;=$E31,T$4&lt;=$F31),"■","")</f>
        <v/>
      </c>
      <c r="U31" s="60">
        <f>IF(AND(U$4&gt;=$E31,U$4&lt;=$F31),"■","")</f>
        <v/>
      </c>
      <c r="V31" s="60">
        <f>IF(AND(V$4&gt;=$E31,V$4&lt;=$F31),"■","")</f>
        <v/>
      </c>
      <c r="W31" s="60">
        <f>IF(AND(W$4&gt;=$E31,W$4&lt;=$F31),"■","")</f>
        <v/>
      </c>
    </row>
    <row r="32" ht="15" customHeight="1" s="40">
      <c r="A32" s="48" t="inlineStr">
        <is>
          <t>T27</t>
        </is>
      </c>
      <c r="B32" s="59" t="inlineStr">
        <is>
          <t>추종·파지</t>
        </is>
      </c>
      <c r="C32" s="50" t="inlineStr">
        <is>
          <t>박병후</t>
        </is>
      </c>
      <c r="D32" s="48" t="inlineStr">
        <is>
          <t>belt_servo: 폐루프 서보 (픽셀 오차 → 속도), 하강·파지 타이밍</t>
        </is>
      </c>
      <c r="E32" s="51" t="n">
        <v>46303</v>
      </c>
      <c r="F32" s="51" t="n">
        <v>46305</v>
      </c>
      <c r="G32" s="48">
        <f>F32-E32+1</f>
        <v/>
      </c>
      <c r="H32" s="50" t="inlineStr">
        <is>
          <t>추종 파지 성공률 ≥ 70% (20회)</t>
        </is>
      </c>
      <c r="I32" s="48" t="inlineStr">
        <is>
          <t>SR-FN-03, SR-NF-01</t>
        </is>
      </c>
      <c r="J32" s="52" t="inlineStr">
        <is>
          <t>예정</t>
        </is>
      </c>
      <c r="K32" s="53" t="n">
        <v>0</v>
      </c>
      <c r="L32" s="60">
        <f>IF(AND(L$4&gt;=$E32,L$4&lt;=$F32),"■","")</f>
        <v/>
      </c>
      <c r="M32" s="60">
        <f>IF(AND(M$4&gt;=$E32,M$4&lt;=$F32),"■","")</f>
        <v/>
      </c>
      <c r="N32" s="60">
        <f>IF(AND(N$4&gt;=$E32,N$4&lt;=$F32),"■","")</f>
        <v/>
      </c>
      <c r="O32" s="60">
        <f>IF(AND(O$4&gt;=$E32,O$4&lt;=$F32),"■","")</f>
        <v/>
      </c>
      <c r="P32" s="60">
        <f>IF(AND(P$4&gt;=$E32,P$4&lt;=$F32),"■","")</f>
        <v/>
      </c>
      <c r="Q32" s="60">
        <f>IF(AND(Q$4&gt;=$E32,Q$4&lt;=$F32),"■","")</f>
        <v/>
      </c>
      <c r="R32" s="60">
        <f>IF(AND(R$4&gt;=$E32,R$4&lt;=$F32),"■","")</f>
        <v/>
      </c>
      <c r="S32" s="60">
        <f>IF(AND(S$4&gt;=$E32,S$4&lt;=$F32),"■","")</f>
        <v/>
      </c>
      <c r="T32" s="60">
        <f>IF(AND(T$4&gt;=$E32,T$4&lt;=$F32),"■","")</f>
        <v/>
      </c>
      <c r="U32" s="60">
        <f>IF(AND(U$4&gt;=$E32,U$4&lt;=$F32),"■","")</f>
        <v/>
      </c>
      <c r="V32" s="60">
        <f>IF(AND(V$4&gt;=$E32,V$4&lt;=$F32),"■","")</f>
        <v/>
      </c>
      <c r="W32" s="60">
        <f>IF(AND(W$4&gt;=$E32,W$4&lt;=$F32),"■","")</f>
        <v/>
      </c>
    </row>
    <row r="33" ht="15" customHeight="1" s="40">
      <c r="A33" s="48" t="inlineStr">
        <is>
          <t>T28</t>
        </is>
      </c>
      <c r="B33" s="59" t="inlineStr">
        <is>
          <t>추종·파지</t>
        </is>
      </c>
      <c r="C33" s="50" t="inlineStr">
        <is>
          <t>박병후</t>
        </is>
      </c>
      <c r="D33" s="50" t="inlineStr">
        <is>
          <t>서보 안정화, 파지 실패 감지·재시도, 2단계 OCR 프레임 연동</t>
        </is>
      </c>
      <c r="E33" s="51" t="n">
        <v>46306</v>
      </c>
      <c r="F33" s="51" t="n">
        <v>46308</v>
      </c>
      <c r="G33" s="48">
        <f>F33-E33+1</f>
        <v/>
      </c>
      <c r="H33" s="50" t="inlineStr">
        <is>
          <t>재시도 포함 성공률 유지</t>
        </is>
      </c>
      <c r="I33" s="48" t="inlineStr">
        <is>
          <t>SR-FN-05, SR-FN-09</t>
        </is>
      </c>
      <c r="J33" s="52" t="inlineStr">
        <is>
          <t>예정</t>
        </is>
      </c>
      <c r="K33" s="53" t="n">
        <v>0</v>
      </c>
      <c r="L33" s="60">
        <f>IF(AND(L$4&gt;=$E33,L$4&lt;=$F33),"■","")</f>
        <v/>
      </c>
      <c r="M33" s="60">
        <f>IF(AND(M$4&gt;=$E33,M$4&lt;=$F33),"■","")</f>
        <v/>
      </c>
      <c r="N33" s="60">
        <f>IF(AND(N$4&gt;=$E33,N$4&lt;=$F33),"■","")</f>
        <v/>
      </c>
      <c r="O33" s="60">
        <f>IF(AND(O$4&gt;=$E33,O$4&lt;=$F33),"■","")</f>
        <v/>
      </c>
      <c r="P33" s="60">
        <f>IF(AND(P$4&gt;=$E33,P$4&lt;=$F33),"■","")</f>
        <v/>
      </c>
      <c r="Q33" s="60">
        <f>IF(AND(Q$4&gt;=$E33,Q$4&lt;=$F33),"■","")</f>
        <v/>
      </c>
      <c r="R33" s="60">
        <f>IF(AND(R$4&gt;=$E33,R$4&lt;=$F33),"■","")</f>
        <v/>
      </c>
      <c r="S33" s="60">
        <f>IF(AND(S$4&gt;=$E33,S$4&lt;=$F33),"■","")</f>
        <v/>
      </c>
      <c r="T33" s="60">
        <f>IF(AND(T$4&gt;=$E33,T$4&lt;=$F33),"■","")</f>
        <v/>
      </c>
      <c r="U33" s="60">
        <f>IF(AND(U$4&gt;=$E33,U$4&lt;=$F33),"■","")</f>
        <v/>
      </c>
      <c r="V33" s="60">
        <f>IF(AND(V$4&gt;=$E33,V$4&lt;=$F33),"■","")</f>
        <v/>
      </c>
      <c r="W33" s="60">
        <f>IF(AND(W$4&gt;=$E33,W$4&lt;=$F33),"■","")</f>
        <v/>
      </c>
    </row>
    <row r="34" ht="15" customHeight="1" s="40">
      <c r="A34" s="48" t="inlineStr">
        <is>
          <t>T29</t>
        </is>
      </c>
      <c r="B34" s="59" t="inlineStr">
        <is>
          <t>추종·파지</t>
        </is>
      </c>
      <c r="C34" s="50" t="inlineStr">
        <is>
          <t>박병후</t>
        </is>
      </c>
      <c r="D34" s="50" t="inlineStr">
        <is>
          <t>타이밍 튜닝·리허설</t>
        </is>
      </c>
      <c r="E34" s="51" t="n">
        <v>46309</v>
      </c>
      <c r="F34" s="51" t="n">
        <v>46310</v>
      </c>
      <c r="G34" s="48">
        <f>F34-E34+1</f>
        <v/>
      </c>
      <c r="H34" s="50" t="inlineStr">
        <is>
          <t>리허설 통과</t>
        </is>
      </c>
      <c r="I34" s="48" t="inlineStr">
        <is>
          <t>SR-NF-01</t>
        </is>
      </c>
      <c r="J34" s="52" t="inlineStr">
        <is>
          <t>예정</t>
        </is>
      </c>
      <c r="K34" s="53" t="n">
        <v>0</v>
      </c>
      <c r="L34" s="60">
        <f>IF(AND(L$4&gt;=$E34,L$4&lt;=$F34),"■","")</f>
        <v/>
      </c>
      <c r="M34" s="60">
        <f>IF(AND(M$4&gt;=$E34,M$4&lt;=$F34),"■","")</f>
        <v/>
      </c>
      <c r="N34" s="60">
        <f>IF(AND(N$4&gt;=$E34,N$4&lt;=$F34),"■","")</f>
        <v/>
      </c>
      <c r="O34" s="60">
        <f>IF(AND(O$4&gt;=$E34,O$4&lt;=$F34),"■","")</f>
        <v/>
      </c>
      <c r="P34" s="60">
        <f>IF(AND(P$4&gt;=$E34,P$4&lt;=$F34),"■","")</f>
        <v/>
      </c>
      <c r="Q34" s="60">
        <f>IF(AND(Q$4&gt;=$E34,Q$4&lt;=$F34),"■","")</f>
        <v/>
      </c>
      <c r="R34" s="60">
        <f>IF(AND(R$4&gt;=$E34,R$4&lt;=$F34),"■","")</f>
        <v/>
      </c>
      <c r="S34" s="60">
        <f>IF(AND(S$4&gt;=$E34,S$4&lt;=$F34),"■","")</f>
        <v/>
      </c>
      <c r="T34" s="60">
        <f>IF(AND(T$4&gt;=$E34,T$4&lt;=$F34),"■","")</f>
        <v/>
      </c>
      <c r="U34" s="60">
        <f>IF(AND(U$4&gt;=$E34,U$4&lt;=$F34),"■","")</f>
        <v/>
      </c>
      <c r="V34" s="60">
        <f>IF(AND(V$4&gt;=$E34,V$4&lt;=$F34),"■","")</f>
        <v/>
      </c>
      <c r="W34" s="60">
        <f>IF(AND(W$4&gt;=$E34,W$4&lt;=$F34),"■","")</f>
        <v/>
      </c>
    </row>
    <row r="35" ht="15" customHeight="1" s="40">
      <c r="A35" s="48" t="inlineStr">
        <is>
          <t>T30</t>
        </is>
      </c>
      <c r="B35" s="52" t="inlineStr">
        <is>
          <t>로봇 제어·환경 설정</t>
        </is>
      </c>
      <c r="C35" s="50" t="inlineStr">
        <is>
          <t>김학민</t>
        </is>
      </c>
      <c r="D35" s="50" t="inlineStr">
        <is>
          <t>벨트 속도 실측·아두이노 설정값 표, 10 cm/s 이하 설정</t>
        </is>
      </c>
      <c r="E35" s="51" t="n">
        <v>46301</v>
      </c>
      <c r="F35" s="51" t="n">
        <v>46301</v>
      </c>
      <c r="G35" s="48">
        <f>F35-E35+1</f>
        <v/>
      </c>
      <c r="H35" s="50" t="inlineStr">
        <is>
          <t>설정값-속도 표</t>
        </is>
      </c>
      <c r="I35" s="48" t="inlineStr">
        <is>
          <t>SR-HW-04·05</t>
        </is>
      </c>
      <c r="J35" s="52" t="inlineStr">
        <is>
          <t>예정</t>
        </is>
      </c>
      <c r="K35" s="53" t="n">
        <v>0</v>
      </c>
      <c r="L35" s="61">
        <f>IF(AND(L$4&gt;=$E35,L$4&lt;=$F35),"■","")</f>
        <v/>
      </c>
      <c r="M35" s="61">
        <f>IF(AND(M$4&gt;=$E35,M$4&lt;=$F35),"■","")</f>
        <v/>
      </c>
      <c r="N35" s="61">
        <f>IF(AND(N$4&gt;=$E35,N$4&lt;=$F35),"■","")</f>
        <v/>
      </c>
      <c r="O35" s="61">
        <f>IF(AND(O$4&gt;=$E35,O$4&lt;=$F35),"■","")</f>
        <v/>
      </c>
      <c r="P35" s="61">
        <f>IF(AND(P$4&gt;=$E35,P$4&lt;=$F35),"■","")</f>
        <v/>
      </c>
      <c r="Q35" s="61">
        <f>IF(AND(Q$4&gt;=$E35,Q$4&lt;=$F35),"■","")</f>
        <v/>
      </c>
      <c r="R35" s="61">
        <f>IF(AND(R$4&gt;=$E35,R$4&lt;=$F35),"■","")</f>
        <v/>
      </c>
      <c r="S35" s="61">
        <f>IF(AND(S$4&gt;=$E35,S$4&lt;=$F35),"■","")</f>
        <v/>
      </c>
      <c r="T35" s="61">
        <f>IF(AND(T$4&gt;=$E35,T$4&lt;=$F35),"■","")</f>
        <v/>
      </c>
      <c r="U35" s="61">
        <f>IF(AND(U$4&gt;=$E35,U$4&lt;=$F35),"■","")</f>
        <v/>
      </c>
      <c r="V35" s="61">
        <f>IF(AND(V$4&gt;=$E35,V$4&lt;=$F35),"■","")</f>
        <v/>
      </c>
      <c r="W35" s="61">
        <f>IF(AND(W$4&gt;=$E35,W$4&lt;=$F35),"■","")</f>
        <v/>
      </c>
    </row>
    <row r="36" ht="15" customHeight="1" s="40">
      <c r="A36" s="48" t="inlineStr">
        <is>
          <t>T31</t>
        </is>
      </c>
      <c r="B36" s="52" t="inlineStr">
        <is>
          <t>로봇 제어·환경 설정</t>
        </is>
      </c>
      <c r="C36" s="50" t="inlineStr">
        <is>
          <t>김학민</t>
        </is>
      </c>
      <c r="D36" s="50" t="inlineStr">
        <is>
          <t>작업대 치수·5구역 좌표 실측·등록, 컨트롤러·PC 사양 확인</t>
        </is>
      </c>
      <c r="E36" s="51" t="n">
        <v>46301</v>
      </c>
      <c r="F36" s="51" t="n">
        <v>46301</v>
      </c>
      <c r="G36" s="48">
        <f>F36-E36+1</f>
        <v/>
      </c>
      <c r="H36" s="48" t="inlineStr">
        <is>
          <t>voss_config.yaml 좌표 입력</t>
        </is>
      </c>
      <c r="I36" s="48" t="inlineStr">
        <is>
          <t>SR-HW-08·09</t>
        </is>
      </c>
      <c r="J36" s="52" t="inlineStr">
        <is>
          <t>예정</t>
        </is>
      </c>
      <c r="K36" s="53" t="n">
        <v>0</v>
      </c>
      <c r="L36" s="61">
        <f>IF(AND(L$4&gt;=$E36,L$4&lt;=$F36),"■","")</f>
        <v/>
      </c>
      <c r="M36" s="61">
        <f>IF(AND(M$4&gt;=$E36,M$4&lt;=$F36),"■","")</f>
        <v/>
      </c>
      <c r="N36" s="61">
        <f>IF(AND(N$4&gt;=$E36,N$4&lt;=$F36),"■","")</f>
        <v/>
      </c>
      <c r="O36" s="61">
        <f>IF(AND(O$4&gt;=$E36,O$4&lt;=$F36),"■","")</f>
        <v/>
      </c>
      <c r="P36" s="61">
        <f>IF(AND(P$4&gt;=$E36,P$4&lt;=$F36),"■","")</f>
        <v/>
      </c>
      <c r="Q36" s="61">
        <f>IF(AND(Q$4&gt;=$E36,Q$4&lt;=$F36),"■","")</f>
        <v/>
      </c>
      <c r="R36" s="61">
        <f>IF(AND(R$4&gt;=$E36,R$4&lt;=$F36),"■","")</f>
        <v/>
      </c>
      <c r="S36" s="61">
        <f>IF(AND(S$4&gt;=$E36,S$4&lt;=$F36),"■","")</f>
        <v/>
      </c>
      <c r="T36" s="61">
        <f>IF(AND(T$4&gt;=$E36,T$4&lt;=$F36),"■","")</f>
        <v/>
      </c>
      <c r="U36" s="61">
        <f>IF(AND(U$4&gt;=$E36,U$4&lt;=$F36),"■","")</f>
        <v/>
      </c>
      <c r="V36" s="61">
        <f>IF(AND(V$4&gt;=$E36,V$4&lt;=$F36),"■","")</f>
        <v/>
      </c>
      <c r="W36" s="61">
        <f>IF(AND(W$4&gt;=$E36,W$4&lt;=$F36),"■","")</f>
        <v/>
      </c>
    </row>
    <row r="37" ht="15" customHeight="1" s="40">
      <c r="A37" s="48" t="inlineStr">
        <is>
          <t>T32</t>
        </is>
      </c>
      <c r="B37" s="52" t="inlineStr">
        <is>
          <t>로봇 제어·환경 설정</t>
        </is>
      </c>
      <c r="C37" s="50" t="inlineStr">
        <is>
          <t>김학민</t>
        </is>
      </c>
      <c r="D37" s="50" t="inlineStr">
        <is>
          <t>두산 브링업·robot_gateway 단일 호출 큐·툴/TCP 등록 스크립트</t>
        </is>
      </c>
      <c r="E37" s="51" t="n">
        <v>46301</v>
      </c>
      <c r="F37" s="51" t="n">
        <v>46303</v>
      </c>
      <c r="G37" s="48">
        <f>F37-E37+1</f>
        <v/>
      </c>
      <c r="H37" s="48" t="inlineStr">
        <is>
          <t>move_line 큐 30분 무정지 (10/08 PL 승인, 원래 1시간)</t>
        </is>
      </c>
      <c r="I37" s="48" t="inlineStr">
        <is>
          <t>SR-SW-04, SR-IF-08</t>
        </is>
      </c>
      <c r="J37" s="52" t="inlineStr">
        <is>
          <t>예정</t>
        </is>
      </c>
      <c r="K37" s="53" t="n">
        <v>0</v>
      </c>
      <c r="L37" s="61">
        <f>IF(AND(L$4&gt;=$E37,L$4&lt;=$F37),"■","")</f>
        <v/>
      </c>
      <c r="M37" s="61">
        <f>IF(AND(M$4&gt;=$E37,M$4&lt;=$F37),"■","")</f>
        <v/>
      </c>
      <c r="N37" s="61">
        <f>IF(AND(N$4&gt;=$E37,N$4&lt;=$F37),"■","")</f>
        <v/>
      </c>
      <c r="O37" s="61">
        <f>IF(AND(O$4&gt;=$E37,O$4&lt;=$F37),"■","")</f>
        <v/>
      </c>
      <c r="P37" s="61">
        <f>IF(AND(P$4&gt;=$E37,P$4&lt;=$F37),"■","")</f>
        <v/>
      </c>
      <c r="Q37" s="61">
        <f>IF(AND(Q$4&gt;=$E37,Q$4&lt;=$F37),"■","")</f>
        <v/>
      </c>
      <c r="R37" s="61">
        <f>IF(AND(R$4&gt;=$E37,R$4&lt;=$F37),"■","")</f>
        <v/>
      </c>
      <c r="S37" s="61">
        <f>IF(AND(S$4&gt;=$E37,S$4&lt;=$F37),"■","")</f>
        <v/>
      </c>
      <c r="T37" s="61">
        <f>IF(AND(T$4&gt;=$E37,T$4&lt;=$F37),"■","")</f>
        <v/>
      </c>
      <c r="U37" s="61">
        <f>IF(AND(U$4&gt;=$E37,U$4&lt;=$F37),"■","")</f>
        <v/>
      </c>
      <c r="V37" s="61">
        <f>IF(AND(V$4&gt;=$E37,V$4&lt;=$F37),"■","")</f>
        <v/>
      </c>
      <c r="W37" s="61">
        <f>IF(AND(W$4&gt;=$E37,W$4&lt;=$F37),"■","")</f>
        <v/>
      </c>
    </row>
    <row r="38" ht="15" customHeight="1" s="40">
      <c r="A38" s="48" t="inlineStr">
        <is>
          <t>T33</t>
        </is>
      </c>
      <c r="B38" s="52" t="inlineStr">
        <is>
          <t>로봇 제어·환경 설정</t>
        </is>
      </c>
      <c r="C38" s="50" t="inlineStr">
        <is>
          <t>김학민</t>
        </is>
      </c>
      <c r="D38" s="50" t="inlineStr">
        <is>
          <t>송장 제작·인쇄·부착 (10매 + 흐린 1), 카메라 노출·조명 세팅</t>
        </is>
      </c>
      <c r="E38" s="51" t="n">
        <v>46302</v>
      </c>
      <c r="F38" s="51" t="n">
        <v>46302</v>
      </c>
      <c r="G38" s="48">
        <f>F38-E38+1</f>
        <v/>
      </c>
      <c r="H38" s="50" t="inlineStr">
        <is>
          <t>송장 세트 완성</t>
        </is>
      </c>
      <c r="I38" s="48" t="inlineStr">
        <is>
          <t>SR-HW-07, SR-NF-13</t>
        </is>
      </c>
      <c r="J38" s="52" t="inlineStr">
        <is>
          <t>예정</t>
        </is>
      </c>
      <c r="K38" s="53" t="n">
        <v>0</v>
      </c>
      <c r="L38" s="61">
        <f>IF(AND(L$4&gt;=$E38,L$4&lt;=$F38),"■","")</f>
        <v/>
      </c>
      <c r="M38" s="61">
        <f>IF(AND(M$4&gt;=$E38,M$4&lt;=$F38),"■","")</f>
        <v/>
      </c>
      <c r="N38" s="61">
        <f>IF(AND(N$4&gt;=$E38,N$4&lt;=$F38),"■","")</f>
        <v/>
      </c>
      <c r="O38" s="61">
        <f>IF(AND(O$4&gt;=$E38,O$4&lt;=$F38),"■","")</f>
        <v/>
      </c>
      <c r="P38" s="61">
        <f>IF(AND(P$4&gt;=$E38,P$4&lt;=$F38),"■","")</f>
        <v/>
      </c>
      <c r="Q38" s="61">
        <f>IF(AND(Q$4&gt;=$E38,Q$4&lt;=$F38),"■","")</f>
        <v/>
      </c>
      <c r="R38" s="61">
        <f>IF(AND(R$4&gt;=$E38,R$4&lt;=$F38),"■","")</f>
        <v/>
      </c>
      <c r="S38" s="61">
        <f>IF(AND(S$4&gt;=$E38,S$4&lt;=$F38),"■","")</f>
        <v/>
      </c>
      <c r="T38" s="61">
        <f>IF(AND(T$4&gt;=$E38,T$4&lt;=$F38),"■","")</f>
        <v/>
      </c>
      <c r="U38" s="61">
        <f>IF(AND(U$4&gt;=$E38,U$4&lt;=$F38),"■","")</f>
        <v/>
      </c>
      <c r="V38" s="61">
        <f>IF(AND(V$4&gt;=$E38,V$4&lt;=$F38),"■","")</f>
        <v/>
      </c>
      <c r="W38" s="61">
        <f>IF(AND(W$4&gt;=$E38,W$4&lt;=$F38),"■","")</f>
        <v/>
      </c>
    </row>
    <row r="39" ht="15" customHeight="1" s="40">
      <c r="A39" s="48" t="inlineStr">
        <is>
          <t>T34</t>
        </is>
      </c>
      <c r="B39" s="52" t="inlineStr">
        <is>
          <t>로봇 제어·환경 설정</t>
        </is>
      </c>
      <c r="C39" s="50" t="inlineStr">
        <is>
          <t>김학민</t>
        </is>
      </c>
      <c r="D39" s="48" t="inlineStr">
        <is>
          <t>RG2 제어 경로 결정·파지력 설정 (종이 박스)</t>
        </is>
      </c>
      <c r="E39" s="51" t="n">
        <v>46302</v>
      </c>
      <c r="F39" s="51" t="n">
        <v>46303</v>
      </c>
      <c r="G39" s="48">
        <f>F39-E39+1</f>
        <v/>
      </c>
      <c r="H39" s="50" t="inlineStr">
        <is>
          <t>찌그러짐 없는 파지 10회</t>
        </is>
      </c>
      <c r="I39" s="48" t="inlineStr">
        <is>
          <t>SR-HW-02, SR-SW-05</t>
        </is>
      </c>
      <c r="J39" s="52" t="inlineStr">
        <is>
          <t>예정</t>
        </is>
      </c>
      <c r="K39" s="53" t="n">
        <v>0</v>
      </c>
      <c r="L39" s="61">
        <f>IF(AND(L$4&gt;=$E39,L$4&lt;=$F39),"■","")</f>
        <v/>
      </c>
      <c r="M39" s="61">
        <f>IF(AND(M$4&gt;=$E39,M$4&lt;=$F39),"■","")</f>
        <v/>
      </c>
      <c r="N39" s="61">
        <f>IF(AND(N$4&gt;=$E39,N$4&lt;=$F39),"■","")</f>
        <v/>
      </c>
      <c r="O39" s="61">
        <f>IF(AND(O$4&gt;=$E39,O$4&lt;=$F39),"■","")</f>
        <v/>
      </c>
      <c r="P39" s="61">
        <f>IF(AND(P$4&gt;=$E39,P$4&lt;=$F39),"■","")</f>
        <v/>
      </c>
      <c r="Q39" s="61">
        <f>IF(AND(Q$4&gt;=$E39,Q$4&lt;=$F39),"■","")</f>
        <v/>
      </c>
      <c r="R39" s="61">
        <f>IF(AND(R$4&gt;=$E39,R$4&lt;=$F39),"■","")</f>
        <v/>
      </c>
      <c r="S39" s="61">
        <f>IF(AND(S$4&gt;=$E39,S$4&lt;=$F39),"■","")</f>
        <v/>
      </c>
      <c r="T39" s="61">
        <f>IF(AND(T$4&gt;=$E39,T$4&lt;=$F39),"■","")</f>
        <v/>
      </c>
      <c r="U39" s="61">
        <f>IF(AND(U$4&gt;=$E39,U$4&lt;=$F39),"■","")</f>
        <v/>
      </c>
      <c r="V39" s="61">
        <f>IF(AND(V$4&gt;=$E39,V$4&lt;=$F39),"■","")</f>
        <v/>
      </c>
      <c r="W39" s="61">
        <f>IF(AND(W$4&gt;=$E39,W$4&lt;=$F39),"■","")</f>
        <v/>
      </c>
    </row>
    <row r="40" ht="15" customHeight="1" s="40">
      <c r="A40" s="48" t="inlineStr">
        <is>
          <t>T35</t>
        </is>
      </c>
      <c r="B40" s="52" t="inlineStr">
        <is>
          <t>로봇 제어·환경 설정</t>
        </is>
      </c>
      <c r="C40" s="50" t="inlineStr">
        <is>
          <t>김학민</t>
        </is>
      </c>
      <c r="D40" s="50" t="inlineStr">
        <is>
          <t>정지 Pick and Place: move_to_zone, 격자 오프셋, 복귀</t>
        </is>
      </c>
      <c r="E40" s="51" t="n">
        <v>46303</v>
      </c>
      <c r="F40" s="51" t="n">
        <v>46305</v>
      </c>
      <c r="G40" s="48">
        <f>F40-E40+1</f>
        <v/>
      </c>
      <c r="H40" s="48" t="inlineStr">
        <is>
          <t>5구역 적재 각 3회 성공</t>
        </is>
      </c>
      <c r="I40" s="48" t="inlineStr">
        <is>
          <t>SR-FN-06, SR-IF-08</t>
        </is>
      </c>
      <c r="J40" s="52" t="inlineStr">
        <is>
          <t>예정</t>
        </is>
      </c>
      <c r="K40" s="53" t="n">
        <v>0</v>
      </c>
      <c r="L40" s="61">
        <f>IF(AND(L$4&gt;=$E40,L$4&lt;=$F40),"■","")</f>
        <v/>
      </c>
      <c r="M40" s="61">
        <f>IF(AND(M$4&gt;=$E40,M$4&lt;=$F40),"■","")</f>
        <v/>
      </c>
      <c r="N40" s="61">
        <f>IF(AND(N$4&gt;=$E40,N$4&lt;=$F40),"■","")</f>
        <v/>
      </c>
      <c r="O40" s="61">
        <f>IF(AND(O$4&gt;=$E40,O$4&lt;=$F40),"■","")</f>
        <v/>
      </c>
      <c r="P40" s="61">
        <f>IF(AND(P$4&gt;=$E40,P$4&lt;=$F40),"■","")</f>
        <v/>
      </c>
      <c r="Q40" s="61">
        <f>IF(AND(Q$4&gt;=$E40,Q$4&lt;=$F40),"■","")</f>
        <v/>
      </c>
      <c r="R40" s="61">
        <f>IF(AND(R$4&gt;=$E40,R$4&lt;=$F40),"■","")</f>
        <v/>
      </c>
      <c r="S40" s="61">
        <f>IF(AND(S$4&gt;=$E40,S$4&lt;=$F40),"■","")</f>
        <v/>
      </c>
      <c r="T40" s="61">
        <f>IF(AND(T$4&gt;=$E40,T$4&lt;=$F40),"■","")</f>
        <v/>
      </c>
      <c r="U40" s="61">
        <f>IF(AND(U$4&gt;=$E40,U$4&lt;=$F40),"■","")</f>
        <v/>
      </c>
      <c r="V40" s="61">
        <f>IF(AND(V$4&gt;=$E40,V$4&lt;=$F40),"■","")</f>
        <v/>
      </c>
      <c r="W40" s="61">
        <f>IF(AND(W$4&gt;=$E40,W$4&lt;=$F40),"■","")</f>
        <v/>
      </c>
    </row>
    <row r="41" ht="15" customHeight="1" s="40">
      <c r="A41" s="48" t="inlineStr">
        <is>
          <t>T36</t>
        </is>
      </c>
      <c r="B41" s="52" t="inlineStr">
        <is>
          <t>로봇 제어·환경 설정</t>
        </is>
      </c>
      <c r="C41" s="50" t="inlineStr">
        <is>
          <t>김학민</t>
        </is>
      </c>
      <c r="D41" s="50" t="inlineStr">
        <is>
          <t>적재 시퀀스 통합, 직접교시 teach_zone (Should)</t>
        </is>
      </c>
      <c r="E41" s="51" t="n">
        <v>46306</v>
      </c>
      <c r="F41" s="51" t="n">
        <v>46308</v>
      </c>
      <c r="G41" s="48">
        <f>F41-E41+1</f>
        <v/>
      </c>
      <c r="H41" s="50" t="inlineStr">
        <is>
          <t>전체 루프에서 적재 동작</t>
        </is>
      </c>
      <c r="I41" s="48" t="inlineStr">
        <is>
          <t>SR-FN-17</t>
        </is>
      </c>
      <c r="J41" s="52" t="inlineStr">
        <is>
          <t>예정</t>
        </is>
      </c>
      <c r="K41" s="53" t="n">
        <v>0</v>
      </c>
      <c r="L41" s="61">
        <f>IF(AND(L$4&gt;=$E41,L$4&lt;=$F41),"■","")</f>
        <v/>
      </c>
      <c r="M41" s="61">
        <f>IF(AND(M$4&gt;=$E41,M$4&lt;=$F41),"■","")</f>
        <v/>
      </c>
      <c r="N41" s="61">
        <f>IF(AND(N$4&gt;=$E41,N$4&lt;=$F41),"■","")</f>
        <v/>
      </c>
      <c r="O41" s="61">
        <f>IF(AND(O$4&gt;=$E41,O$4&lt;=$F41),"■","")</f>
        <v/>
      </c>
      <c r="P41" s="61">
        <f>IF(AND(P$4&gt;=$E41,P$4&lt;=$F41),"■","")</f>
        <v/>
      </c>
      <c r="Q41" s="61">
        <f>IF(AND(Q$4&gt;=$E41,Q$4&lt;=$F41),"■","")</f>
        <v/>
      </c>
      <c r="R41" s="61">
        <f>IF(AND(R$4&gt;=$E41,R$4&lt;=$F41),"■","")</f>
        <v/>
      </c>
      <c r="S41" s="61">
        <f>IF(AND(S$4&gt;=$E41,S$4&lt;=$F41),"■","")</f>
        <v/>
      </c>
      <c r="T41" s="61">
        <f>IF(AND(T$4&gt;=$E41,T$4&lt;=$F41),"■","")</f>
        <v/>
      </c>
      <c r="U41" s="61">
        <f>IF(AND(U$4&gt;=$E41,U$4&lt;=$F41),"■","")</f>
        <v/>
      </c>
      <c r="V41" s="61">
        <f>IF(AND(V$4&gt;=$E41,V$4&lt;=$F41),"■","")</f>
        <v/>
      </c>
      <c r="W41" s="61">
        <f>IF(AND(W$4&gt;=$E41,W$4&lt;=$F41),"■","")</f>
        <v/>
      </c>
    </row>
    <row r="42" ht="15" customHeight="1" s="40">
      <c r="A42" s="48" t="inlineStr">
        <is>
          <t>T37</t>
        </is>
      </c>
      <c r="B42" s="52" t="inlineStr">
        <is>
          <t>로봇 제어·환경 설정</t>
        </is>
      </c>
      <c r="C42" s="50" t="inlineStr">
        <is>
          <t>김학민</t>
        </is>
      </c>
      <c r="D42" s="50" t="inlineStr">
        <is>
          <t>리허설 지원·환경 재점검</t>
        </is>
      </c>
      <c r="E42" s="51" t="n">
        <v>46309</v>
      </c>
      <c r="F42" s="51" t="n">
        <v>46310</v>
      </c>
      <c r="G42" s="48">
        <f>F42-E42+1</f>
        <v/>
      </c>
      <c r="H42" s="50" t="inlineStr">
        <is>
          <t>리허설 통과</t>
        </is>
      </c>
      <c r="I42" s="48" t="inlineStr">
        <is>
          <t>SR-NF-10</t>
        </is>
      </c>
      <c r="J42" s="52" t="inlineStr">
        <is>
          <t>예정</t>
        </is>
      </c>
      <c r="K42" s="53" t="n">
        <v>0</v>
      </c>
      <c r="L42" s="61">
        <f>IF(AND(L$4&gt;=$E42,L$4&lt;=$F42),"■","")</f>
        <v/>
      </c>
      <c r="M42" s="61">
        <f>IF(AND(M$4&gt;=$E42,M$4&lt;=$F42),"■","")</f>
        <v/>
      </c>
      <c r="N42" s="61">
        <f>IF(AND(N$4&gt;=$E42,N$4&lt;=$F42),"■","")</f>
        <v/>
      </c>
      <c r="O42" s="61">
        <f>IF(AND(O$4&gt;=$E42,O$4&lt;=$F42),"■","")</f>
        <v/>
      </c>
      <c r="P42" s="61">
        <f>IF(AND(P$4&gt;=$E42,P$4&lt;=$F42),"■","")</f>
        <v/>
      </c>
      <c r="Q42" s="61">
        <f>IF(AND(Q$4&gt;=$E42,Q$4&lt;=$F42),"■","")</f>
        <v/>
      </c>
      <c r="R42" s="61">
        <f>IF(AND(R$4&gt;=$E42,R$4&lt;=$F42),"■","")</f>
        <v/>
      </c>
      <c r="S42" s="61">
        <f>IF(AND(S$4&gt;=$E42,S$4&lt;=$F42),"■","")</f>
        <v/>
      </c>
      <c r="T42" s="61">
        <f>IF(AND(T$4&gt;=$E42,T$4&lt;=$F42),"■","")</f>
        <v/>
      </c>
      <c r="U42" s="61">
        <f>IF(AND(U$4&gt;=$E42,U$4&lt;=$F42),"■","")</f>
        <v/>
      </c>
      <c r="V42" s="61">
        <f>IF(AND(V$4&gt;=$E42,V$4&lt;=$F42),"■","")</f>
        <v/>
      </c>
      <c r="W42" s="61">
        <f>IF(AND(W$4&gt;=$E42,W$4&lt;=$F42),"■","")</f>
        <v/>
      </c>
    </row>
    <row r="44" ht="15" customHeight="1" s="40">
      <c r="B44" s="62" t="inlineStr">
        <is>
          <t>파트별 진행률</t>
        </is>
      </c>
    </row>
    <row r="45" ht="15" customHeight="1" s="40">
      <c r="B45" s="63" t="inlineStr">
        <is>
          <t>파트</t>
        </is>
      </c>
      <c r="C45" s="63" t="inlineStr">
        <is>
          <t>작업 수</t>
        </is>
      </c>
      <c r="D45" s="63" t="inlineStr">
        <is>
          <t>완료</t>
        </is>
      </c>
      <c r="E45" s="63" t="inlineStr">
        <is>
          <t>진행</t>
        </is>
      </c>
      <c r="F45" s="63" t="inlineStr">
        <is>
          <t>지연</t>
        </is>
      </c>
      <c r="G45" s="63" t="inlineStr">
        <is>
          <t>평균 진행률</t>
        </is>
      </c>
    </row>
    <row r="46" ht="15" customHeight="1" s="40">
      <c r="B46" s="64" t="inlineStr">
        <is>
          <t>음성·웹·HMI</t>
        </is>
      </c>
      <c r="C46" s="65">
        <f>COUNTIF($B$6:$B$42,B46)</f>
        <v/>
      </c>
      <c r="D46" s="65">
        <f>COUNTIFS($B$6:$B$42,B46,$J$6:$J$42,"완료")</f>
        <v/>
      </c>
      <c r="E46" s="65">
        <f>COUNTIFS($B$6:$B$42,B46,$J$6:$J$42,"진행")</f>
        <v/>
      </c>
      <c r="F46" s="65">
        <f>COUNTIFS($B$6:$B$42,B46,$J$6:$J$42,"지연")</f>
        <v/>
      </c>
      <c r="G46" s="66">
        <f>IFERROR(AVERAGEIF($B$6:$B$42,B46,$K$6:$K$42),0)</f>
        <v/>
      </c>
    </row>
    <row r="47" ht="15" customHeight="1" s="40">
      <c r="B47" s="67" t="inlineStr">
        <is>
          <t>비전·OCR·통합</t>
        </is>
      </c>
      <c r="C47" s="65">
        <f>COUNTIF($B$6:$B$42,B47)</f>
        <v/>
      </c>
      <c r="D47" s="65">
        <f>COUNTIFS($B$6:$B$42,B47,$J$6:$J$42,"완료")</f>
        <v/>
      </c>
      <c r="E47" s="65">
        <f>COUNTIFS($B$6:$B$42,B47,$J$6:$J$42,"진행")</f>
        <v/>
      </c>
      <c r="F47" s="65">
        <f>COUNTIFS($B$6:$B$42,B47,$J$6:$J$42,"지연")</f>
        <v/>
      </c>
      <c r="G47" s="66">
        <f>IFERROR(AVERAGEIF($B$6:$B$42,B47,$K$6:$K$42),0)</f>
        <v/>
      </c>
    </row>
    <row r="48" ht="15" customHeight="1" s="40">
      <c r="B48" s="68" t="inlineStr">
        <is>
          <t>추종·파지</t>
        </is>
      </c>
      <c r="C48" s="65">
        <f>COUNTIF($B$6:$B$42,B48)</f>
        <v/>
      </c>
      <c r="D48" s="65">
        <f>COUNTIFS($B$6:$B$42,B48,$J$6:$J$42,"완료")</f>
        <v/>
      </c>
      <c r="E48" s="65">
        <f>COUNTIFS($B$6:$B$42,B48,$J$6:$J$42,"진행")</f>
        <v/>
      </c>
      <c r="F48" s="65">
        <f>COUNTIFS($B$6:$B$42,B48,$J$6:$J$42,"지연")</f>
        <v/>
      </c>
      <c r="G48" s="66">
        <f>IFERROR(AVERAGEIF($B$6:$B$42,B48,$K$6:$K$42),0)</f>
        <v/>
      </c>
    </row>
    <row r="49" ht="15" customHeight="1" s="40">
      <c r="B49" s="69" t="inlineStr">
        <is>
          <t>로봇 제어·환경 설정</t>
        </is>
      </c>
      <c r="C49" s="65">
        <f>COUNTIF($B$6:$B$42,B49)</f>
        <v/>
      </c>
      <c r="D49" s="65">
        <f>COUNTIFS($B$6:$B$42,B49,$J$6:$J$42,"완료")</f>
        <v/>
      </c>
      <c r="E49" s="65">
        <f>COUNTIFS($B$6:$B$42,B49,$J$6:$J$42,"진행")</f>
        <v/>
      </c>
      <c r="F49" s="65">
        <f>COUNTIFS($B$6:$B$42,B49,$J$6:$J$42,"지연")</f>
        <v/>
      </c>
      <c r="G49" s="66">
        <f>IFERROR(AVERAGEIF($B$6:$B$42,B49,$K$6:$K$42),0)</f>
        <v/>
      </c>
    </row>
    <row r="50" ht="15" customHeight="1" s="40">
      <c r="B50" s="70" t="inlineStr">
        <is>
          <t>전체</t>
        </is>
      </c>
      <c r="C50" s="65">
        <f>COUNTIF($B$6:$B$42,B50)</f>
        <v/>
      </c>
      <c r="D50" s="65">
        <f>COUNTIFS($B$6:$B$42,B50,$J$6:$J$42,"완료")</f>
        <v/>
      </c>
      <c r="E50" s="65">
        <f>COUNTIFS($B$6:$B$42,B50,$J$6:$J$42,"진행")</f>
        <v/>
      </c>
      <c r="F50" s="65">
        <f>COUNTIFS($B$6:$B$42,B50,$J$6:$J$42,"지연")</f>
        <v/>
      </c>
      <c r="G50" s="66">
        <f>IFERROR(AVERAGEIF($B$6:$B$42,B50,$K$6:$K$42),0)</f>
        <v/>
      </c>
    </row>
    <row r="51" ht="15" customHeight="1" s="40">
      <c r="B51" s="71" t="inlineStr">
        <is>
          <t>전체</t>
        </is>
      </c>
      <c r="C51" s="71">
        <f>COUNTA($A$6:$A$42)</f>
        <v/>
      </c>
      <c r="D51" s="71">
        <f>COUNTIF($J$6:$J$42,"완료")</f>
        <v/>
      </c>
      <c r="E51" s="71">
        <f>COUNTIF($J$6:$J$42,"진행")</f>
        <v/>
      </c>
      <c r="F51" s="71">
        <f>COUNTIF($J$6:$J$42,"지연")</f>
        <v/>
      </c>
      <c r="G51" s="72">
        <f>IFERROR(AVERAGE($K$6:$K$42),0)</f>
        <v/>
      </c>
    </row>
    <row r="53" ht="15" customHeight="1" s="40">
      <c r="B53" s="73" t="inlineStr">
        <is>
          <t>범례: 회색 날짜 = 휴무(10/5·10/9)·주말(10/10·11, 강의실 사용 가능). 막대 색 = 파트. 출처: VOSS BRD 6.3·6.4, SRD 16장 (2026-10-05).</t>
        </is>
      </c>
    </row>
  </sheetData>
  <conditionalFormatting sqref="L6:W42">
    <cfRule type="expression" rank="0" priority="2" equalAverage="0" aboveAverage="0" dxfId="0" text="" percent="0" bottom="0">
      <formula>AND(L6="■",$B6="음성·웹·HMI")</formula>
    </cfRule>
    <cfRule type="expression" rank="0" priority="3" equalAverage="0" aboveAverage="0" dxfId="1" text="" percent="0" bottom="0">
      <formula>AND(L6="■",$B6="비전·OCR·통합")</formula>
    </cfRule>
    <cfRule type="expression" rank="0" priority="4" equalAverage="0" aboveAverage="0" dxfId="2" text="" percent="0" bottom="0">
      <formula>AND(L6="■",$B6="추종·파지")</formula>
    </cfRule>
    <cfRule type="expression" rank="0" priority="5" equalAverage="0" aboveAverage="0" dxfId="3" text="" percent="0" bottom="0">
      <formula>AND(L6="■",$B6="로봇 제어·환경 설정")</formula>
    </cfRule>
    <cfRule type="expression" rank="0" priority="6" equalAverage="0" aboveAverage="0" dxfId="4" text="" percent="0" bottom="0">
      <formula>AND(L6="■",$B6="전체")</formula>
    </cfRule>
  </conditionalFormatting>
  <dataValidations count="2">
    <dataValidation sqref="J6:J42" showDropDown="0" showInputMessage="0" showErrorMessage="0" allowBlank="1" type="list" errorStyle="stop" operator="between">
      <formula1>"예정,진행,완료,지연"</formula1>
      <formula2>0</formula2>
    </dataValidation>
    <dataValidation sqref="K6:K42" showDropDown="0" showInputMessage="0" showErrorMessage="0" allowBlank="0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1"/>
    <col width="22" customWidth="1" style="39" min="2" max="2"/>
    <col width="70" customWidth="1" style="39" min="3" max="3"/>
    <col width="20" customWidth="1" style="39" min="4" max="4"/>
    <col width="8" customWidth="1" style="39" min="5" max="5"/>
  </cols>
  <sheetData>
    <row r="1" ht="21.6" customHeight="1" s="40">
      <c r="A1" s="41" t="inlineStr">
        <is>
          <t>VOSS 마일스톤</t>
        </is>
      </c>
    </row>
    <row r="2" ht="15" customHeight="1" s="40">
      <c r="A2" s="63" t="inlineStr">
        <is>
          <t>날짜</t>
        </is>
      </c>
      <c r="B2" s="63" t="inlineStr">
        <is>
          <t>마일스톤</t>
        </is>
      </c>
      <c r="C2" s="63" t="inlineStr">
        <is>
          <t>통과 기준</t>
        </is>
      </c>
      <c r="D2" s="63" t="inlineStr">
        <is>
          <t>관련</t>
        </is>
      </c>
      <c r="E2" s="63" t="inlineStr">
        <is>
          <t>상태</t>
        </is>
      </c>
    </row>
    <row r="3" ht="15" customHeight="1" s="40">
      <c r="A3" s="74" t="n">
        <v>46300</v>
      </c>
      <c r="B3" s="50" t="inlineStr">
        <is>
          <t>인터페이스 확정</t>
        </is>
      </c>
      <c r="C3" s="50" t="inlineStr">
        <is>
          <t>노드·토픽·서비스 이름, intent JSON, voss_config.yaml 형식을 레포에 커밋</t>
        </is>
      </c>
      <c r="D3" s="48" t="inlineStr">
        <is>
          <t>SRD 9장</t>
        </is>
      </c>
      <c r="E3" s="52" t="inlineStr">
        <is>
          <t>예정</t>
        </is>
      </c>
    </row>
    <row r="4" ht="29.85" customHeight="1" s="40">
      <c r="A4" s="74" t="n">
        <v>46301</v>
      </c>
      <c r="B4" s="50" t="inlineStr">
        <is>
          <t>실측·확인 완료</t>
        </is>
      </c>
      <c r="C4" s="50" t="inlineStr">
        <is>
          <t>벨트 속도표, 작업대 좌표, 컨트롤러 버전, 서보 토픽 유무, RG2 경로, GPU 사양, 캘리브레이션 기록</t>
        </is>
      </c>
      <c r="D4" s="48" t="inlineStr">
        <is>
          <t>SRD 16장</t>
        </is>
      </c>
      <c r="E4" s="52" t="inlineStr">
        <is>
          <t>예정</t>
        </is>
      </c>
    </row>
    <row r="5" ht="15" customHeight="1" s="40">
      <c r="A5" s="74" t="n">
        <v>46302</v>
      </c>
      <c r="B5" s="50" t="inlineStr">
        <is>
          <t>중간 점검 발표</t>
        </is>
      </c>
      <c r="C5" s="50" t="inlineStr">
        <is>
          <t>주제·진행 방향·진행률 설명 완료</t>
        </is>
      </c>
      <c r="D5" s="48" t="inlineStr">
        <is>
          <t>BRD 8.2</t>
        </is>
      </c>
      <c r="E5" s="52" t="inlineStr">
        <is>
          <t>예정</t>
        </is>
      </c>
    </row>
    <row r="6" ht="15" customHeight="1" s="40">
      <c r="A6" s="74" t="n">
        <v>46303</v>
      </c>
      <c r="B6" s="50" t="inlineStr">
        <is>
          <t>정지 Pick and Place 동작</t>
        </is>
      </c>
      <c r="C6" s="48" t="inlineStr">
        <is>
          <t>5구역 적재 각 3회 성공</t>
        </is>
      </c>
      <c r="D6" s="48" t="inlineStr">
        <is>
          <t>SR-FN-06</t>
        </is>
      </c>
      <c r="E6" s="52" t="inlineStr">
        <is>
          <t>예정</t>
        </is>
      </c>
    </row>
    <row r="7" ht="15" customHeight="1" s="40">
      <c r="A7" s="74" t="n">
        <v>46305</v>
      </c>
      <c r="B7" s="48" t="inlineStr">
        <is>
          <t>10/10 게이트</t>
        </is>
      </c>
      <c r="C7" s="50" t="inlineStr">
        <is>
          <t>추종 파지 성공률 ≥ 70% (20회). 미달 시 B 개루프 동기 추종 전환 또는 범위 축소</t>
        </is>
      </c>
      <c r="D7" s="48" t="inlineStr">
        <is>
          <t>SR-FN-04, BRD 8.2</t>
        </is>
      </c>
      <c r="E7" s="52" t="inlineStr">
        <is>
          <t>예정</t>
        </is>
      </c>
    </row>
    <row r="8" ht="15" customHeight="1" s="40">
      <c r="A8" s="74" t="n">
        <v>46308</v>
      </c>
      <c r="B8" s="50" t="inlineStr">
        <is>
          <t>전체 루프 통합</t>
        </is>
      </c>
      <c r="C8" s="50" t="inlineStr">
        <is>
          <t>음성 → 판독 → 파지 → 적재 → HMI·DB 한 번에 완주</t>
        </is>
      </c>
      <c r="D8" s="48" t="inlineStr">
        <is>
          <t>SR-FN-15·20</t>
        </is>
      </c>
      <c r="E8" s="52" t="inlineStr">
        <is>
          <t>예정</t>
        </is>
      </c>
    </row>
    <row r="9" ht="15" customHeight="1" s="40">
      <c r="A9" s="74" t="n">
        <v>46309</v>
      </c>
      <c r="B9" s="50" t="inlineStr">
        <is>
          <t>파트별 역할 완료</t>
        </is>
      </c>
      <c r="C9" s="50" t="inlineStr">
        <is>
          <t>리허설 로그로 NFR-01~03 실측값 확보</t>
        </is>
      </c>
      <c r="D9" s="48" t="inlineStr">
        <is>
          <t>BRD 8.2</t>
        </is>
      </c>
      <c r="E9" s="52" t="inlineStr">
        <is>
          <t>예정</t>
        </is>
      </c>
    </row>
    <row r="10" ht="15" customHeight="1" s="40">
      <c r="A10" s="74" t="n">
        <v>46310</v>
      </c>
      <c r="B10" s="50" t="inlineStr">
        <is>
          <t>시연</t>
        </is>
      </c>
      <c r="C10" s="50" t="inlineStr">
        <is>
          <t>박스 10개 8단계 대본 완주, 8개 이상 올바른 구역</t>
        </is>
      </c>
      <c r="D10" s="48" t="inlineStr">
        <is>
          <t>SR-NF-06, BRD 8.1</t>
        </is>
      </c>
      <c r="E10" s="52" t="inlineStr">
        <is>
          <t>예정</t>
        </is>
      </c>
    </row>
    <row r="11" ht="15" customHeight="1" s="40">
      <c r="A11" s="74" t="n">
        <v>46311</v>
      </c>
      <c r="B11" s="50" t="inlineStr">
        <is>
          <t>발표</t>
        </is>
      </c>
      <c r="C11" s="48" t="inlineStr">
        <is>
          <t>PPT 발표 완료</t>
        </is>
      </c>
      <c r="D11" s="48" t="inlineStr">
        <is>
          <t>BRD 8.3</t>
        </is>
      </c>
      <c r="E11" s="52" t="inlineStr">
        <is>
          <t>예정</t>
        </is>
      </c>
    </row>
  </sheetData>
  <dataValidations count="1">
    <dataValidation sqref="E3:E11" showDropDown="0" showInputMessage="0" showErrorMessage="0" allowBlank="1" type="list" errorStyle="stop" operator="between">
      <formula1>"예정,완료,지연"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60" customWidth="1" style="39" min="2" max="2"/>
    <col width="8" customWidth="1" style="39" min="3" max="3"/>
    <col width="36" customWidth="1" style="39" min="4" max="4"/>
    <col width="20" customWidth="1" style="39" min="5" max="5"/>
    <col width="6" customWidth="1" style="39" min="6" max="6"/>
  </cols>
  <sheetData>
    <row r="1" ht="21.6" customHeight="1" s="40">
      <c r="A1" s="41" t="inlineStr">
        <is>
          <t>10/06 실측·확인 체크리스트</t>
        </is>
      </c>
    </row>
    <row r="2" ht="15" customHeight="1" s="40">
      <c r="A2" s="75" t="inlineStr">
        <is>
          <t>#</t>
        </is>
      </c>
      <c r="B2" s="63" t="inlineStr">
        <is>
          <t>항목</t>
        </is>
      </c>
      <c r="C2" s="63" t="inlineStr">
        <is>
          <t>담당</t>
        </is>
      </c>
      <c r="D2" s="63" t="inlineStr">
        <is>
          <t>결과 기록 (값·단위)</t>
        </is>
      </c>
      <c r="E2" s="63" t="inlineStr">
        <is>
          <t>관련 SR</t>
        </is>
      </c>
      <c r="F2" s="63" t="inlineStr">
        <is>
          <t>완료</t>
        </is>
      </c>
    </row>
    <row r="3" ht="15" customHeight="1" s="40">
      <c r="A3" s="48" t="n">
        <v>1</v>
      </c>
      <c r="B3" s="50" t="inlineStr">
        <is>
          <t>벨트 속도: 아두이노 설정값별 cm/s 표, 10 cm/s 이하 설정 확인</t>
        </is>
      </c>
      <c r="C3" s="50" t="inlineStr">
        <is>
          <t>김학민</t>
        </is>
      </c>
      <c r="D3" s="52" t="n"/>
      <c r="E3" s="48" t="inlineStr">
        <is>
          <t>SR-HW-04, SR-FN-04</t>
        </is>
      </c>
      <c r="F3" s="76" t="inlineStr">
        <is>
          <t>□</t>
        </is>
      </c>
    </row>
    <row r="4" ht="15" customHeight="1" s="40">
      <c r="A4" s="48" t="n">
        <v>2</v>
      </c>
      <c r="B4" s="50" t="inlineStr">
        <is>
          <t>두산 컨트롤러 DRCF·doosan-robot2 버전 재확인</t>
        </is>
      </c>
      <c r="C4" s="50" t="inlineStr">
        <is>
          <t>김학민</t>
        </is>
      </c>
      <c r="D4" s="52" t="n"/>
      <c r="E4" s="48" t="inlineStr">
        <is>
          <t>SR-HW-01, SR-SW-04</t>
        </is>
      </c>
      <c r="F4" s="76" t="inlineStr">
        <is>
          <t>□</t>
        </is>
      </c>
    </row>
    <row r="5" ht="15" customHeight="1" s="40">
      <c r="A5" s="48" t="n">
        <v>3</v>
      </c>
      <c r="B5" s="50" t="inlineStr">
        <is>
          <t>서보 스트리밍 토픽(servol_stream 계열) 가능 여부</t>
        </is>
      </c>
      <c r="C5" s="50" t="inlineStr">
        <is>
          <t>박병후</t>
        </is>
      </c>
      <c r="D5" s="52" t="n"/>
      <c r="E5" s="48" t="inlineStr">
        <is>
          <t>SR-IF-09</t>
        </is>
      </c>
      <c r="F5" s="76" t="inlineStr">
        <is>
          <t>□</t>
        </is>
      </c>
    </row>
    <row r="6" ht="15" customHeight="1" s="40">
      <c r="A6" s="48" t="n">
        <v>4</v>
      </c>
      <c r="B6" s="48" t="inlineStr">
        <is>
          <t>RG2 제어 경로: Modbus TCP 직접 vs onrobot ROS 2 드라이버</t>
        </is>
      </c>
      <c r="C6" s="50" t="inlineStr">
        <is>
          <t>김학민</t>
        </is>
      </c>
      <c r="D6" s="52" t="n"/>
      <c r="E6" s="48" t="inlineStr">
        <is>
          <t>SR-HW-02, SR-SW-05</t>
        </is>
      </c>
      <c r="F6" s="76" t="inlineStr">
        <is>
          <t>□</t>
        </is>
      </c>
    </row>
    <row r="7" ht="15" customHeight="1" s="40">
      <c r="A7" s="48" t="n">
        <v>5</v>
      </c>
      <c r="B7" s="50" t="inlineStr">
        <is>
          <t>공용 PC GPU·RAM 사양, USB 3.0 포트 수, NIC 2개 여부</t>
        </is>
      </c>
      <c r="C7" s="50" t="inlineStr">
        <is>
          <t>정의석</t>
        </is>
      </c>
      <c r="D7" s="52" t="n"/>
      <c r="E7" s="48" t="inlineStr">
        <is>
          <t>SR-HW-09</t>
        </is>
      </c>
      <c r="F7" s="76" t="inlineStr">
        <is>
          <t>□</t>
        </is>
      </c>
    </row>
    <row r="8" ht="15" customHeight="1" s="40">
      <c r="A8" s="48" t="n">
        <v>6</v>
      </c>
      <c r="B8" s="50" t="inlineStr">
        <is>
          <t>작업대 치수, 로봇 설치 위치·베이스 높이, 5구역 좌표</t>
        </is>
      </c>
      <c r="C8" s="50" t="inlineStr">
        <is>
          <t>김학민</t>
        </is>
      </c>
      <c r="D8" s="52" t="n"/>
      <c r="E8" s="48" t="inlineStr">
        <is>
          <t>SR-HW-08</t>
        </is>
      </c>
      <c r="F8" s="76" t="inlineStr">
        <is>
          <t>□</t>
        </is>
      </c>
    </row>
    <row r="9" ht="15" customHeight="1" s="40">
      <c r="A9" s="48" t="n">
        <v>7</v>
      </c>
      <c r="B9" s="50" t="inlineStr">
        <is>
          <t>핸드아이 캘리브레이션 결과 (검증점 오차 mm)</t>
        </is>
      </c>
      <c r="C9" s="50" t="inlineStr">
        <is>
          <t>남현지</t>
        </is>
      </c>
      <c r="D9" s="52" t="n"/>
      <c r="E9" s="48" t="inlineStr">
        <is>
          <t>SR-FN-02</t>
        </is>
      </c>
      <c r="F9" s="76" t="inlineStr">
        <is>
          <t>□</t>
        </is>
      </c>
    </row>
    <row r="10" ht="15" customHeight="1" s="40">
      <c r="A10" s="48" t="n">
        <v>8</v>
      </c>
      <c r="B10" s="50" t="inlineStr">
        <is>
          <t>종이 박스를 찌그러뜨리지 않는 RG2 파지력·폭 값</t>
        </is>
      </c>
      <c r="C10" s="50" t="inlineStr">
        <is>
          <t>김학민</t>
        </is>
      </c>
      <c r="D10" s="52" t="n"/>
      <c r="E10" s="48" t="inlineStr">
        <is>
          <t>SR-HW-02</t>
        </is>
      </c>
      <c r="F10" s="76" t="inlineStr">
        <is>
          <t>□</t>
        </is>
      </c>
    </row>
    <row r="11" ht="15" customHeight="1" s="40">
      <c r="A11" s="48" t="n">
        <v>9</v>
      </c>
      <c r="B11" s="50" t="inlineStr">
        <is>
          <t>시연장 조도, 보조 LED 필요 여부, 카메라 노출 5~8 ms 확인</t>
        </is>
      </c>
      <c r="C11" s="50" t="inlineStr">
        <is>
          <t>김학민</t>
        </is>
      </c>
      <c r="D11" s="52" t="n"/>
      <c r="E11" s="48" t="inlineStr">
        <is>
          <t>SR-HW-12</t>
        </is>
      </c>
      <c r="F11" s="76" t="inlineStr">
        <is>
          <t>□</t>
        </is>
      </c>
    </row>
    <row r="12" ht="15" customHeight="1" s="40">
      <c r="A12" s="48" t="n">
        <v>10</v>
      </c>
      <c r="B12" s="50" t="inlineStr">
        <is>
          <t>내장 마이크로 1 m 거리 호출어 인식 확인</t>
        </is>
      </c>
      <c r="C12" s="50" t="inlineStr">
        <is>
          <t>정의석</t>
        </is>
      </c>
      <c r="D12" s="52" t="n"/>
      <c r="E12" s="48" t="inlineStr">
        <is>
          <t>SR-HW-11</t>
        </is>
      </c>
      <c r="F12" s="76" t="inlineStr">
        <is>
          <t>□</t>
        </is>
      </c>
    </row>
    <row r="14" ht="15" customHeight="1" s="40">
      <c r="B14" s="62">
        <f>"완료 "&amp;COUNTIF(F3:F12,"☑")&amp;" / "&amp;COUNTA(B3:B12)</f>
        <v/>
      </c>
    </row>
  </sheetData>
  <dataValidations count="1">
    <dataValidation sqref="F3:F12" showDropDown="0" showInputMessage="0" showErrorMessage="0" allowBlank="1" type="list" errorStyle="stop" operator="between">
      <formula1>"□,☑"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39" min="1" max="1"/>
    <col width="62" customWidth="1" style="39" min="2" max="2"/>
    <col width="8" customWidth="1" style="39" min="3" max="3"/>
    <col width="7" customWidth="1" style="39" min="4" max="4"/>
    <col width="36" customWidth="1" style="39" min="5" max="5"/>
    <col width="20" customWidth="1" style="39" min="6" max="6"/>
    <col width="7" customWidth="1" style="39" min="7" max="7"/>
  </cols>
  <sheetData>
    <row r="1" ht="21.6" customHeight="1" s="40">
      <c r="A1" s="77" t="inlineStr">
        <is>
          <t>팀이 정해야 할 항목 (SRD 16장)</t>
        </is>
      </c>
    </row>
    <row r="2" ht="15" customHeight="1" s="40">
      <c r="A2" s="75" t="inlineStr">
        <is>
          <t>#</t>
        </is>
      </c>
      <c r="B2" s="63" t="inlineStr">
        <is>
          <t>항목</t>
        </is>
      </c>
      <c r="C2" s="63" t="inlineStr">
        <is>
          <t>담당</t>
        </is>
      </c>
      <c r="D2" s="63" t="inlineStr">
        <is>
          <t>기한</t>
        </is>
      </c>
      <c r="E2" s="63" t="inlineStr">
        <is>
          <t>결정 내용</t>
        </is>
      </c>
      <c r="F2" s="63" t="inlineStr">
        <is>
          <t>관련 SR</t>
        </is>
      </c>
      <c r="G2" s="63" t="inlineStr">
        <is>
          <t>상태</t>
        </is>
      </c>
    </row>
    <row r="3" ht="15" customHeight="1" s="40">
      <c r="A3" s="48" t="n">
        <v>1</v>
      </c>
      <c r="B3" s="50" t="inlineStr">
        <is>
          <t>노드·토픽·서비스·메시지 이름 확정 (SRD 9장 제안 수용 또는 수정)</t>
        </is>
      </c>
      <c r="C3" s="50" t="inlineStr">
        <is>
          <t>전원</t>
        </is>
      </c>
      <c r="D3" s="78" t="n">
        <v>46300</v>
      </c>
      <c r="E3" s="52" t="n"/>
      <c r="F3" s="48" t="inlineStr">
        <is>
          <t>SR-IF-01~12</t>
        </is>
      </c>
      <c r="G3" s="52" t="inlineStr">
        <is>
          <t>미정</t>
        </is>
      </c>
    </row>
    <row r="4" ht="15" customHeight="1" s="40">
      <c r="A4" s="48" t="n">
        <v>2</v>
      </c>
      <c r="B4" s="50" t="inlineStr">
        <is>
          <t>호출어 검출 엔진 (키워드 매칭 / 경량 모델)</t>
        </is>
      </c>
      <c r="C4" s="50" t="inlineStr">
        <is>
          <t>정의석</t>
        </is>
      </c>
      <c r="D4" s="78" t="n">
        <v>46301</v>
      </c>
      <c r="E4" s="52" t="n"/>
      <c r="F4" s="48" t="inlineStr">
        <is>
          <t>SR-SW-10</t>
        </is>
      </c>
      <c r="G4" s="52" t="inlineStr">
        <is>
          <t>미정</t>
        </is>
      </c>
    </row>
    <row r="5" ht="15" customHeight="1" s="40">
      <c r="A5" s="48" t="n">
        <v>3</v>
      </c>
      <c r="B5" s="48" t="inlineStr">
        <is>
          <t>Whisper 모델 크기</t>
        </is>
      </c>
      <c r="C5" s="50" t="inlineStr">
        <is>
          <t>정의석</t>
        </is>
      </c>
      <c r="D5" s="78" t="n">
        <v>46301</v>
      </c>
      <c r="E5" s="52" t="n"/>
      <c r="F5" s="48" t="inlineStr">
        <is>
          <t>SR-SW-11</t>
        </is>
      </c>
      <c r="G5" s="52" t="inlineStr">
        <is>
          <t>미정</t>
        </is>
      </c>
    </row>
    <row r="6" ht="15" customHeight="1" s="40">
      <c r="A6" s="48" t="n">
        <v>4</v>
      </c>
      <c r="B6" s="48" t="inlineStr">
        <is>
          <t>TTS 엔진 (로컬 / OpenAI TTS)</t>
        </is>
      </c>
      <c r="C6" s="50" t="inlineStr">
        <is>
          <t>정의석</t>
        </is>
      </c>
      <c r="D6" s="78" t="n">
        <v>46303</v>
      </c>
      <c r="E6" s="52" t="n"/>
      <c r="F6" s="48" t="inlineStr">
        <is>
          <t>SR-SW-13</t>
        </is>
      </c>
      <c r="G6" s="52" t="inlineStr">
        <is>
          <t>미정</t>
        </is>
      </c>
    </row>
    <row r="7" ht="15" customHeight="1" s="40">
      <c r="A7" s="48" t="n">
        <v>5</v>
      </c>
      <c r="B7" s="50" t="inlineStr">
        <is>
          <t>박스 검출 방식: YOLO 학습 vs 세그멘테이션, 라벨링 도구</t>
        </is>
      </c>
      <c r="C7" s="50" t="inlineStr">
        <is>
          <t>남현지</t>
        </is>
      </c>
      <c r="D7" s="78" t="n">
        <v>46301</v>
      </c>
      <c r="E7" s="52" t="n"/>
      <c r="F7" s="48" t="inlineStr">
        <is>
          <t>SR-SW-07</t>
        </is>
      </c>
      <c r="G7" s="52" t="inlineStr">
        <is>
          <t>미정</t>
        </is>
      </c>
    </row>
    <row r="8" ht="15" customHeight="1" s="40">
      <c r="A8" s="48" t="n">
        <v>6</v>
      </c>
      <c r="B8" s="50" t="inlineStr">
        <is>
          <t>웹 HMI 스택·실행 위치, MQTT 토픽 JSON 스키마</t>
        </is>
      </c>
      <c r="C8" s="50" t="inlineStr">
        <is>
          <t>정의석</t>
        </is>
      </c>
      <c r="D8" s="78" t="n">
        <v>46303</v>
      </c>
      <c r="E8" s="52" t="n"/>
      <c r="F8" s="48" t="inlineStr">
        <is>
          <t>SR-SW-17, SR-IF-10</t>
        </is>
      </c>
      <c r="G8" s="52" t="inlineStr">
        <is>
          <t>미정</t>
        </is>
      </c>
    </row>
    <row r="9" ht="15" customHeight="1" s="40">
      <c r="A9" s="48" t="n">
        <v>7</v>
      </c>
      <c r="B9" s="50" t="inlineStr">
        <is>
          <t>작업 로그 DB 종류</t>
        </is>
      </c>
      <c r="C9" s="50" t="inlineStr">
        <is>
          <t>정의석</t>
        </is>
      </c>
      <c r="D9" s="78" t="n">
        <v>46304</v>
      </c>
      <c r="E9" s="52" t="n"/>
      <c r="F9" s="48" t="inlineStr">
        <is>
          <t>SR-SW-18</t>
        </is>
      </c>
      <c r="G9" s="52" t="inlineStr">
        <is>
          <t>미정</t>
        </is>
      </c>
    </row>
    <row r="10" ht="15" customHeight="1" s="40">
      <c r="A10" s="48" t="n">
        <v>8</v>
      </c>
      <c r="B10" s="50" t="inlineStr">
        <is>
          <t>흐린 송장 인쇄 농도</t>
        </is>
      </c>
      <c r="C10" s="50" t="inlineStr">
        <is>
          <t>김학민</t>
        </is>
      </c>
      <c r="D10" s="78" t="n">
        <v>46302</v>
      </c>
      <c r="E10" s="52" t="n"/>
      <c r="F10" s="48" t="inlineStr">
        <is>
          <t>SR-HW-07</t>
        </is>
      </c>
      <c r="G10" s="52" t="inlineStr">
        <is>
          <t>미정</t>
        </is>
      </c>
    </row>
    <row r="11" ht="15" customHeight="1" s="40">
      <c r="A11" s="48" t="n">
        <v>9</v>
      </c>
      <c r="B11" s="50" t="inlineStr">
        <is>
          <t>시연 송장 받는 사람 이름 목록</t>
        </is>
      </c>
      <c r="C11" s="50" t="inlineStr">
        <is>
          <t>김학민</t>
        </is>
      </c>
      <c r="D11" s="78" t="n">
        <v>46302</v>
      </c>
      <c r="E11" s="52" t="n"/>
      <c r="F11" s="48" t="inlineStr">
        <is>
          <t>SR-HW-07</t>
        </is>
      </c>
      <c r="G11" s="52" t="inlineStr">
        <is>
          <t>미정</t>
        </is>
      </c>
    </row>
    <row r="12" ht="15" customHeight="1" s="40">
      <c r="A12" s="48" t="n">
        <v>10</v>
      </c>
      <c r="B12" s="48" t="inlineStr">
        <is>
          <t>6.4 역할 배정 확정 (현재 팀 검토 예정)</t>
        </is>
      </c>
      <c r="C12" s="50" t="inlineStr">
        <is>
          <t>전원</t>
        </is>
      </c>
      <c r="D12" s="78" t="n">
        <v>46300</v>
      </c>
      <c r="E12" s="52" t="n"/>
      <c r="F12" s="48" t="inlineStr">
        <is>
          <t>BRD 6.4</t>
        </is>
      </c>
      <c r="G12" s="52" t="inlineStr">
        <is>
          <t>미정</t>
        </is>
      </c>
    </row>
    <row r="13" ht="15" customHeight="1" s="40">
      <c r="A13" s="48" t="n">
        <v>11</v>
      </c>
      <c r="B13" s="50" t="inlineStr">
        <is>
          <t>레포 생성, 이슈 템플릿, 인터페이스 문서 위치</t>
        </is>
      </c>
      <c r="C13" s="50" t="inlineStr">
        <is>
          <t>전원</t>
        </is>
      </c>
      <c r="D13" s="78" t="n">
        <v>46300</v>
      </c>
      <c r="E13" s="52" t="n"/>
      <c r="F13" s="48" t="inlineStr">
        <is>
          <t>BRD 8.3</t>
        </is>
      </c>
      <c r="G13" s="52" t="inlineStr">
        <is>
          <t>미정</t>
        </is>
      </c>
    </row>
    <row r="14" ht="15" customHeight="1" s="40">
      <c r="A14" s="48" t="n">
        <v>12</v>
      </c>
      <c r="B14" s="48" t="inlineStr">
        <is>
          <t>10/10 게이트 기준(추종 파지 70%) 승인</t>
        </is>
      </c>
      <c r="C14" s="50" t="inlineStr">
        <is>
          <t>전원</t>
        </is>
      </c>
      <c r="D14" s="78" t="n">
        <v>46301</v>
      </c>
      <c r="E14" s="52" t="n"/>
      <c r="F14" s="48" t="inlineStr">
        <is>
          <t>SR-FN-04</t>
        </is>
      </c>
      <c r="G14" s="52" t="inlineStr">
        <is>
          <t>미정</t>
        </is>
      </c>
    </row>
    <row r="15" ht="15" customHeight="1" s="40">
      <c r="A15" s="48" t="n">
        <v>13</v>
      </c>
      <c r="B15" s="50" t="inlineStr">
        <is>
          <t>수치 목표(파지 70%, OCR 90/95%, 지시 95%, 사이클 30초, 10개 중 8개) 승인</t>
        </is>
      </c>
      <c r="C15" s="50" t="inlineStr">
        <is>
          <t>전원</t>
        </is>
      </c>
      <c r="D15" s="78" t="n">
        <v>46301</v>
      </c>
      <c r="E15" s="52" t="n"/>
      <c r="F15" s="48" t="inlineStr">
        <is>
          <t>SRD 10장</t>
        </is>
      </c>
      <c r="G15" s="52" t="inlineStr">
        <is>
          <t>미정</t>
        </is>
      </c>
    </row>
    <row r="17" ht="15" customHeight="1" s="40">
      <c r="B17" s="62">
        <f>"결정 "&amp;COUNTIF(G3:G15,"결정")&amp;" / "&amp;COUNTA(B3:B15)</f>
        <v/>
      </c>
    </row>
  </sheetData>
  <dataValidations count="1">
    <dataValidation sqref="G3:G15" showDropDown="0" showInputMessage="0" showErrorMessage="0" allowBlank="1" type="list" errorStyle="stop" operator="between">
      <formula1>"미정,결정"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2026-10-04T17:33:30Z</dcterms:created>
  <dcterms:modified xmlns:dcterms="http://purl.org/dc/terms/" xmlns:xsi="http://www.w3.org/2001/XMLSchema-instance" xsi:type="dcterms:W3CDTF">2026-10-08T12:44:43Z</dcterms:modified>
  <cp:revision>0</cp:revision>
</cp:coreProperties>
</file>