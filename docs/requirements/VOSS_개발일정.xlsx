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정" sheetId="1" state="visible" r:id="rId3"/>
    <sheet name="마일스톤" sheetId="2" state="visible" r:id="rId4"/>
    <sheet name="실측 체크리스트" sheetId="3" state="visible" r:id="rId5"/>
    <sheet name="미결정 항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<sst xmlns="http://schemas.openxmlformats.org/spreadsheetml/2006/main" count="699" uniqueCount="381">
  <si>
    <r>
      <rPr>
        <b val="true"/>
        <sz val="14"/>
        <color rgb="FF000000"/>
        <rFont val="Arial"/>
        <family val="0"/>
        <charset val="1"/>
      </rPr>
      <t xml:space="preserve">VOSS </t>
    </r>
    <r>
      <rPr>
        <b val="true"/>
        <sz val="14"/>
        <color rgb="FF000000"/>
        <rFont val="Noto Sans CJK SC"/>
        <family val="2"/>
      </rPr>
      <t xml:space="preserve">개발 일정 </t>
    </r>
    <r>
      <rPr>
        <b val="true"/>
        <sz val="14"/>
        <color rgb="FF000000"/>
        <rFont val="Arial"/>
        <family val="0"/>
        <charset val="1"/>
      </rPr>
      <t xml:space="preserve">· 2026-10-05 ~ 10-16 (v1.4: Sprint 1 ~10/11, Sprint 2 10/12~14)</t>
    </r>
  </si>
  <si>
    <t xml:space="preserve">상태 열은 드롭다운(예정/진행/완료/지연), 진행률 열은 드롭다운(시작전/진행중/완료)으로 고른다. 시작·종료 날짜를 바꾸면 간트 막대가 따라 움직임. 노란 셀이 입력 칸.</t>
  </si>
  <si>
    <t xml:space="preserve">ID</t>
  </si>
  <si>
    <t xml:space="preserve">파트</t>
  </si>
  <si>
    <t xml:space="preserve">담당</t>
  </si>
  <si>
    <t xml:space="preserve">작업</t>
  </si>
  <si>
    <t xml:space="preserve">시작</t>
  </si>
  <si>
    <t xml:space="preserve">종료</t>
  </si>
  <si>
    <t xml:space="preserve">일수</t>
  </si>
  <si>
    <t xml:space="preserve">완료 기준 / 산출물</t>
  </si>
  <si>
    <t xml:space="preserve">관련 요구사항</t>
  </si>
  <si>
    <t xml:space="preserve">상태</t>
  </si>
  <si>
    <t xml:space="preserve">진행률</t>
  </si>
  <si>
    <t xml:space="preserve">요일 / 비고</t>
  </si>
  <si>
    <t xml:space="preserve">휴무</t>
  </si>
  <si>
    <t xml:space="preserve">화</t>
  </si>
  <si>
    <t xml:space="preserve">수</t>
  </si>
  <si>
    <t xml:space="preserve">목</t>
  </si>
  <si>
    <t xml:space="preserve">휴무(한글날)</t>
  </si>
  <si>
    <t xml:space="preserve">토</t>
  </si>
  <si>
    <t xml:space="preserve">일</t>
  </si>
  <si>
    <t xml:space="preserve">월</t>
  </si>
  <si>
    <t xml:space="preserve">금</t>
  </si>
  <si>
    <t xml:space="preserve">T01</t>
  </si>
  <si>
    <t xml:space="preserve">전체</t>
  </si>
  <si>
    <t xml:space="preserve">전원</t>
  </si>
  <si>
    <t xml:space="preserve">인터페이스 확정: 노드·토픽·intent JSON·voss_config.yaml 형식, 레포 생성</t>
  </si>
  <si>
    <t xml:space="preserve">레포에 인터페이스 문서 커밋</t>
  </si>
  <si>
    <r>
      <rPr>
        <sz val="10"/>
        <color rgb="FF000000"/>
        <rFont val="Arial"/>
        <family val="0"/>
        <charset val="1"/>
      </rPr>
      <t xml:space="preserve">SRD 9</t>
    </r>
    <r>
      <rPr>
        <sz val="10"/>
        <color rgb="FF000000"/>
        <rFont val="Noto Sans CJK SC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BRD 8.3</t>
    </r>
  </si>
  <si>
    <t xml:space="preserve">예정</t>
  </si>
  <si>
    <t xml:space="preserve">시작전</t>
  </si>
  <si>
    <t xml:space="preserve">T02</t>
  </si>
  <si>
    <r>
      <rPr>
        <sz val="10"/>
        <color rgb="FF000000"/>
        <rFont val="Arial"/>
        <family val="0"/>
        <charset val="1"/>
      </rPr>
      <t xml:space="preserve">10/06 </t>
    </r>
    <r>
      <rPr>
        <sz val="10"/>
        <color rgb="FF000000"/>
        <rFont val="Noto Sans CJK SC"/>
        <family val="2"/>
      </rPr>
      <t xml:space="preserve">실측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실측 체크리스트 시트</t>
    </r>
    <r>
      <rPr>
        <sz val="10"/>
        <color rgb="FF000000"/>
        <rFont val="Arial"/>
        <family val="0"/>
        <charset val="1"/>
      </rPr>
      <t xml:space="preserve">)</t>
    </r>
  </si>
  <si>
    <t xml:space="preserve">체크리스트 전 항목 기록</t>
  </si>
  <si>
    <r>
      <rPr>
        <sz val="10"/>
        <color rgb="FF000000"/>
        <rFont val="Arial"/>
        <family val="0"/>
        <charset val="1"/>
      </rPr>
      <t xml:space="preserve">SRD 16</t>
    </r>
    <r>
      <rPr>
        <sz val="10"/>
        <color rgb="FF000000"/>
        <rFont val="Noto Sans CJK SC"/>
        <family val="2"/>
      </rPr>
      <t xml:space="preserve">장</t>
    </r>
  </si>
  <si>
    <t xml:space="preserve">T03</t>
  </si>
  <si>
    <t xml:space="preserve">중간 점검 발표 준비·발표 (주제·진행 방향·진행률)</t>
  </si>
  <si>
    <t xml:space="preserve">발표 완료</t>
  </si>
  <si>
    <t xml:space="preserve">BRD 8.2</t>
  </si>
  <si>
    <t xml:space="preserve">T04</t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</si>
  <si>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추종 파지 성공률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Noto Sans CJK SC"/>
        <family val="2"/>
      </rPr>
      <t xml:space="preserve">판단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미달 시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개루프 전환</t>
    </r>
  </si>
  <si>
    <t xml:space="preserve">성공률 로그, 결정 기록</t>
  </si>
  <si>
    <t xml:space="preserve">SR-FN-04, BRD 8.2</t>
  </si>
  <si>
    <t xml:space="preserve">T05</t>
  </si>
  <si>
    <t xml:space="preserve">전체 루프 리허설 (박스 10개 8단계 대본)</t>
  </si>
  <si>
    <t xml:space="preserve">리허설 로그, NFR-01~03 실측값</t>
  </si>
  <si>
    <t xml:space="preserve">BRD 8.1</t>
  </si>
  <si>
    <t xml:space="preserve">T06</t>
  </si>
  <si>
    <t xml:space="preserve">최종 리허설·시연 영상 촬영·시연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</si>
  <si>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중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 이상 적재</t>
    </r>
  </si>
  <si>
    <t xml:space="preserve">SR-NF-06</t>
  </si>
  <si>
    <t xml:space="preserve">T07</t>
  </si>
  <si>
    <t xml:space="preserve">발표 자료(PPT) 마무리·발표</t>
  </si>
  <si>
    <t xml:space="preserve">BRD 8.3</t>
  </si>
  <si>
    <t xml:space="preserve">T08</t>
  </si>
  <si>
    <t xml:space="preserve">음성·웹·HMI</t>
  </si>
  <si>
    <t xml:space="preserve">정의석</t>
  </si>
  <si>
    <r>
      <rPr>
        <sz val="10"/>
        <color rgb="FF000000"/>
        <rFont val="Arial"/>
        <family val="0"/>
        <charset val="1"/>
      </rPr>
      <t xml:space="preserve">voice_listener: </t>
    </r>
    <r>
      <rPr>
        <sz val="10"/>
        <color rgb="FF000000"/>
        <rFont val="Noto Sans CJK SC"/>
        <family val="2"/>
      </rPr>
      <t xml:space="preserve">호출어 검출 </t>
    </r>
    <r>
      <rPr>
        <sz val="10"/>
        <color rgb="FF000000"/>
        <rFont val="Arial"/>
        <family val="0"/>
        <charset val="1"/>
      </rPr>
      <t xml:space="preserve">+ Whisper </t>
    </r>
    <r>
      <rPr>
        <sz val="10"/>
        <color rgb="FF000000"/>
        <rFont val="Noto Sans CJK SC"/>
        <family val="2"/>
      </rPr>
      <t xml:space="preserve">로컬 </t>
    </r>
    <r>
      <rPr>
        <sz val="10"/>
        <color rgb="FF000000"/>
        <rFont val="Arial"/>
        <family val="0"/>
        <charset val="1"/>
      </rPr>
      <t xml:space="preserve">STT</t>
    </r>
  </si>
  <si>
    <t xml:space="preserve">녹음 파일 20개 전사 ≥ 90%</t>
  </si>
  <si>
    <t xml:space="preserve">SR-FN-13, SR-SW-10·11</t>
  </si>
  <si>
    <t xml:space="preserve">T09</t>
  </si>
  <si>
    <r>
      <rPr>
        <sz val="10"/>
        <color rgb="FF000000"/>
        <rFont val="Arial"/>
        <family val="0"/>
        <charset val="1"/>
      </rPr>
      <t xml:space="preserve">intent_parser: LangChain·OpenAI intent JSON + </t>
    </r>
    <r>
      <rPr>
        <sz val="10"/>
        <color rgb="FF000000"/>
        <rFont val="Noto Sans CJK SC"/>
        <family val="2"/>
      </rPr>
      <t xml:space="preserve">허용 목록 검증</t>
    </r>
  </si>
  <si>
    <t xml:space="preserve">지시 20개 중 19개 정확</t>
  </si>
  <si>
    <t xml:space="preserve">SR-FN-14, SR-SW-12</t>
  </si>
  <si>
    <t xml:space="preserve">T10</t>
  </si>
  <si>
    <r>
      <rPr>
        <sz val="10"/>
        <color rgb="FF000000"/>
        <rFont val="Arial"/>
        <family val="0"/>
        <charset val="1"/>
      </rPr>
      <t xml:space="preserve">speech_out: TTS </t>
    </r>
    <r>
      <rPr>
        <sz val="10"/>
        <color rgb="FF000000"/>
        <rFont val="Noto Sans CJK SC"/>
        <family val="2"/>
      </rPr>
      <t xml:space="preserve">엔진 선정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연동</t>
    </r>
  </si>
  <si>
    <t xml:space="preserve">발화 → 응답 ≤ 3초</t>
  </si>
  <si>
    <t xml:space="preserve">SR-SW-13</t>
  </si>
  <si>
    <t xml:space="preserve">T11</t>
  </si>
  <si>
    <r>
      <rPr>
        <sz val="10"/>
        <color rgb="FF000000"/>
        <rFont val="Arial"/>
        <family val="0"/>
        <charset val="1"/>
      </rPr>
      <t xml:space="preserve">Mosquitto </t>
    </r>
    <r>
      <rPr>
        <sz val="10"/>
        <color rgb="FF000000"/>
        <rFont val="Noto Sans CJK SC"/>
        <family val="2"/>
      </rPr>
      <t xml:space="preserve">브로커</t>
    </r>
    <r>
      <rPr>
        <sz val="10"/>
        <color rgb="FF000000"/>
        <rFont val="Arial"/>
        <family val="0"/>
        <charset val="1"/>
      </rPr>
      <t xml:space="preserve">·hmi_bridge, MQTT JSON </t>
    </r>
    <r>
      <rPr>
        <sz val="10"/>
        <color rgb="FF000000"/>
        <rFont val="Noto Sans CJK SC"/>
        <family val="2"/>
      </rPr>
      <t xml:space="preserve">스키마 확정</t>
    </r>
  </si>
  <si>
    <r>
      <rPr>
        <sz val="10"/>
        <color rgb="FF000000"/>
        <rFont val="Arial"/>
        <family val="0"/>
        <charset val="1"/>
      </rPr>
      <t xml:space="preserve">voss/state·command </t>
    </r>
    <r>
      <rPr>
        <sz val="10"/>
        <color rgb="FF000000"/>
        <rFont val="Noto Sans CJK SC"/>
        <family val="2"/>
      </rPr>
      <t xml:space="preserve">왕복 확인</t>
    </r>
  </si>
  <si>
    <t xml:space="preserve">SR-SW-16, SR-IF-10</t>
  </si>
  <si>
    <t xml:space="preserve">T12</t>
  </si>
  <si>
    <r>
      <rPr>
        <sz val="10"/>
        <color rgb="FF000000"/>
        <rFont val="Arial"/>
        <family val="0"/>
        <charset val="1"/>
      </rPr>
      <t xml:space="preserve">sort_logger·DB </t>
    </r>
    <r>
      <rPr>
        <sz val="10"/>
        <color rgb="FF000000"/>
        <rFont val="Noto Sans CJK SC"/>
        <family val="2"/>
      </rPr>
      <t xml:space="preserve">컨테이너 </t>
    </r>
    <r>
      <rPr>
        <sz val="10"/>
        <color rgb="FF000000"/>
        <rFont val="Arial"/>
        <family val="0"/>
        <charset val="1"/>
      </rPr>
      <t xml:space="preserve">(DB </t>
    </r>
    <r>
      <rPr>
        <sz val="10"/>
        <color rgb="FF000000"/>
        <rFont val="Noto Sans CJK SC"/>
        <family val="2"/>
      </rPr>
      <t xml:space="preserve">종류 결정</t>
    </r>
    <r>
      <rPr>
        <sz val="10"/>
        <color rgb="FF000000"/>
        <rFont val="Arial"/>
        <family val="0"/>
        <charset val="1"/>
      </rPr>
      <t xml:space="preserve">)</t>
    </r>
  </si>
  <si>
    <t xml:space="preserve">결과 토픽 1건 → DB 1행</t>
  </si>
  <si>
    <t xml:space="preserve">SR-FN-20, SR-SW-18</t>
  </si>
  <si>
    <t xml:space="preserve">T13</t>
  </si>
  <si>
    <t xml:space="preserve">웹 HMI: 운전·분류 버튼, 투입 수량, 집계, 보류 목록, OCR 결과, 로봇 상태</t>
  </si>
  <si>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Noto Sans CJK SC"/>
        <family val="2"/>
      </rPr>
      <t xml:space="preserve">반영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</si>
  <si>
    <t xml:space="preserve">SR-FN-19, SR-SW-17</t>
  </si>
  <si>
    <t xml:space="preserve">T14</t>
  </si>
  <si>
    <t xml:space="preserve">전체 루프 연동: 음성 → sort_manager → TTS·HMI</t>
  </si>
  <si>
    <t xml:space="preserve">지시 4종 각 1회 동작</t>
  </si>
  <si>
    <t xml:space="preserve">SR-FN-15</t>
  </si>
  <si>
    <t xml:space="preserve">T15</t>
  </si>
  <si>
    <t xml:space="preserve">예외 처리·소음 대응·HMI 폴백 점검, 리허설</t>
  </si>
  <si>
    <t xml:space="preserve">리허설 통과</t>
  </si>
  <si>
    <t xml:space="preserve">R-09, R-11</t>
  </si>
  <si>
    <t xml:space="preserve">T16</t>
  </si>
  <si>
    <t xml:space="preserve">비전·OCR·통합</t>
  </si>
  <si>
    <t xml:space="preserve">남현지</t>
  </si>
  <si>
    <t xml:space="preserve">핸드아이 캘리브레이션 (로봇 제어와 함께)</t>
  </si>
  <si>
    <t xml:space="preserve">검증점 오차 ≤ 5 mm</t>
  </si>
  <si>
    <t xml:space="preserve">SR-FN-02</t>
  </si>
  <si>
    <t xml:space="preserve">T17</t>
  </si>
  <si>
    <t xml:space="preserve">박스 검출: 데이터 촬영·YOLO 학습 또는 세그멘테이션, box_tracker 30 Hz</t>
  </si>
  <si>
    <t xml:space="preserve">검출률 ≥ 99%, 지연 ≤ 100 ms</t>
  </si>
  <si>
    <t xml:space="preserve">SR-FN-01, SR-SW-07</t>
  </si>
  <si>
    <t xml:space="preserve">T18</t>
  </si>
  <si>
    <t xml:space="preserve">송장 샘플 OCR 검증 (PaddleOCR, 전처리, 퍼지 매칭)</t>
  </si>
  <si>
    <t xml:space="preserve">정지 송장 50장 ≥ 95%</t>
  </si>
  <si>
    <t xml:space="preserve">SR-SW-08·09</t>
  </si>
  <si>
    <t xml:space="preserve">T19</t>
  </si>
  <si>
    <r>
      <rPr>
        <sz val="10"/>
        <color rgb="FF000000"/>
        <rFont val="Arial"/>
        <family val="0"/>
        <charset val="1"/>
      </rPr>
      <t xml:space="preserve">label_reader: 1·2</t>
    </r>
    <r>
      <rPr>
        <sz val="10"/>
        <color rgb="FF000000"/>
        <rFont val="Noto Sans CJK SC"/>
        <family val="2"/>
      </rPr>
      <t xml:space="preserve">단계 </t>
    </r>
    <r>
      <rPr>
        <sz val="10"/>
        <color rgb="FF000000"/>
        <rFont val="Arial"/>
        <family val="0"/>
        <charset val="1"/>
      </rPr>
      <t xml:space="preserve">OCR, </t>
    </r>
    <r>
      <rPr>
        <sz val="10"/>
        <color rgb="FF000000"/>
        <rFont val="Noto Sans CJK SC"/>
        <family val="2"/>
      </rPr>
      <t xml:space="preserve">선명 프레임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다수결</t>
    </r>
  </si>
  <si>
    <t xml:space="preserve">추종 중 50장 ≥ 90%</t>
  </si>
  <si>
    <t xml:space="preserve">SR-FN-08~11</t>
  </si>
  <si>
    <t xml:space="preserve">T20</t>
  </si>
  <si>
    <r>
      <rPr>
        <sz val="10"/>
        <color rgb="FF000000"/>
        <rFont val="Arial"/>
        <family val="0"/>
        <charset val="1"/>
      </rPr>
      <t xml:space="preserve">sort_manager FSM·voss_config.yaml·zone_map </t>
    </r>
    <r>
      <rPr>
        <sz val="10"/>
        <color rgb="FF000000"/>
        <rFont val="Noto Sans CJK SC"/>
        <family val="2"/>
      </rPr>
      <t xml:space="preserve">토픽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</si>
  <si>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상태 전이 단독 시험 통과</t>
    </r>
  </si>
  <si>
    <t xml:space="preserve">SR-SW-14·15, SR-IF-02~04</t>
  </si>
  <si>
    <t xml:space="preserve">T21</t>
  </si>
  <si>
    <t xml:space="preserve">추종·파지 지원 (탐지 접점, 지연 오프셋 보정)</t>
  </si>
  <si>
    <t xml:space="preserve">게이트 성공률 측정 참여</t>
  </si>
  <si>
    <t xml:space="preserve">R-05, R-15</t>
  </si>
  <si>
    <t xml:space="preserve">T22</t>
  </si>
  <si>
    <t xml:space="preserve">비전 컨테이너 구성 (GPU, 마운트), 전체 루프 통합 (v1.4: 10/11 통합에 포함)</t>
  </si>
  <si>
    <t xml:space="preserve">스크립트 1회 기동</t>
  </si>
  <si>
    <t xml:space="preserve">SR-FN-21, SR-SW-19</t>
  </si>
  <si>
    <t xml:space="preserve">T23</t>
  </si>
  <si>
    <t xml:space="preserve">김학민·정의석 (인계)</t>
  </si>
  <si>
    <t xml:space="preserve">재확인·질문·보류 흐름, 로그·성공률 집계, 시연 대본 → 인계 S2-T12·T19</t>
  </si>
  <si>
    <t xml:space="preserve">흐린 송장 박스 완주 3회</t>
  </si>
  <si>
    <t xml:space="preserve">SR-FN-12, SR-NF-12</t>
  </si>
  <si>
    <t xml:space="preserve">T24</t>
  </si>
  <si>
    <t xml:space="preserve">박병후·김학민 (인계)</t>
  </si>
  <si>
    <t xml:space="preserve">리허설·튜닝 → 인계 S2-T11·T12</t>
  </si>
  <si>
    <t xml:space="preserve">T25</t>
  </si>
  <si>
    <t xml:space="preserve">추종·파지</t>
  </si>
  <si>
    <t xml:space="preserve">박병후</t>
  </si>
  <si>
    <t xml:space="preserve">서보 스트리밍 토픽 확인 (dsr_msgs2), 제어 방식 결정</t>
  </si>
  <si>
    <r>
      <rPr>
        <sz val="10"/>
        <color rgb="FF000000"/>
        <rFont val="Arial"/>
        <family val="0"/>
        <charset val="1"/>
      </rPr>
      <t xml:space="preserve">servol_stream </t>
    </r>
    <r>
      <rPr>
        <sz val="10"/>
        <color rgb="FF000000"/>
        <rFont val="Noto Sans CJK SC"/>
        <family val="2"/>
      </rPr>
      <t xml:space="preserve">유무 기록</t>
    </r>
  </si>
  <si>
    <t xml:space="preserve">SR-SW-04, SR-IF-09</t>
  </si>
  <si>
    <t xml:space="preserve">T26</t>
  </si>
  <si>
    <t xml:space="preserve">개루프 동기 추종 (벨트 속도 피드포워드) 베이스라인</t>
  </si>
  <si>
    <t xml:space="preserve">벨트 위 박스 파지 1회 성공</t>
  </si>
  <si>
    <t xml:space="preserve">SR-FN-04</t>
  </si>
  <si>
    <t xml:space="preserve">T27</t>
  </si>
  <si>
    <r>
      <rPr>
        <sz val="10"/>
        <color rgb="FF000000"/>
        <rFont val="Arial"/>
        <family val="0"/>
        <charset val="1"/>
      </rPr>
      <t xml:space="preserve">belt_servo: </t>
    </r>
    <r>
      <rPr>
        <sz val="10"/>
        <color rgb="FF000000"/>
        <rFont val="Noto Sans CJK SC"/>
        <family val="2"/>
      </rPr>
      <t xml:space="preserve">폐루프 서보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픽셀 오차 → 속도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하강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 타이밍</t>
    </r>
  </si>
  <si>
    <t xml:space="preserve">추종 파지 성공률 ≥ 70% (20회)</t>
  </si>
  <si>
    <t xml:space="preserve">SR-FN-03, SR-NF-01</t>
  </si>
  <si>
    <t xml:space="preserve">T28</t>
  </si>
  <si>
    <t xml:space="preserve">서보 안정화, 파지 실패 감지·재시도, 2단계 OCR 프레임 연동</t>
  </si>
  <si>
    <t xml:space="preserve">재시도 포함 성공률 유지</t>
  </si>
  <si>
    <t xml:space="preserve">SR-FN-05, SR-FN-09</t>
  </si>
  <si>
    <t xml:space="preserve">T29</t>
  </si>
  <si>
    <t xml:space="preserve">타이밍 튜닝·리허설</t>
  </si>
  <si>
    <t xml:space="preserve">SR-NF-01</t>
  </si>
  <si>
    <t xml:space="preserve">T30</t>
  </si>
  <si>
    <t xml:space="preserve">로봇 제어·환경 설정</t>
  </si>
  <si>
    <t xml:space="preserve">김학민</t>
  </si>
  <si>
    <t xml:space="preserve">벨트 속도 실측·아두이노 설정값 표, 10 cm/s 이하 설정</t>
  </si>
  <si>
    <t xml:space="preserve">설정값-속도 표</t>
  </si>
  <si>
    <t xml:space="preserve">SR-HW-04·05</t>
  </si>
  <si>
    <t xml:space="preserve">T31</t>
  </si>
  <si>
    <t xml:space="preserve">작업대 치수·5구역 좌표 실측·등록, 컨트롤러·PC 사양 확인</t>
  </si>
  <si>
    <r>
      <rPr>
        <sz val="10"/>
        <color rgb="FF000000"/>
        <rFont val="Arial"/>
        <family val="0"/>
        <charset val="1"/>
      </rPr>
      <t xml:space="preserve">voss_config.yaml </t>
    </r>
    <r>
      <rPr>
        <sz val="10"/>
        <color rgb="FF000000"/>
        <rFont val="Noto Sans CJK SC"/>
        <family val="2"/>
      </rPr>
      <t xml:space="preserve">좌표 입력</t>
    </r>
  </si>
  <si>
    <t xml:space="preserve">SR-HW-08·09</t>
  </si>
  <si>
    <t xml:space="preserve">T32</t>
  </si>
  <si>
    <t xml:space="preserve">두산 브링업·robot_gateway 단일 호출 큐·툴/TCP 등록 스크립트</t>
  </si>
  <si>
    <r>
      <rPr>
        <sz val="10"/>
        <color rgb="FF000000"/>
        <rFont val="Arial"/>
        <family val="0"/>
        <charset val="1"/>
      </rPr>
      <t xml:space="preserve">move_line </t>
    </r>
    <r>
      <rPr>
        <sz val="10"/>
        <color rgb="FF000000"/>
        <rFont val="Noto Sans CJK SC"/>
        <family val="2"/>
      </rPr>
      <t xml:space="preserve">큐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분 무정지 </t>
    </r>
    <r>
      <rPr>
        <sz val="10"/>
        <color rgb="FF000000"/>
        <rFont val="Arial"/>
        <family val="0"/>
        <charset val="1"/>
      </rPr>
      <t xml:space="preserve">(10/09 PL </t>
    </r>
    <r>
      <rPr>
        <sz val="10"/>
        <color rgb="FF000000"/>
        <rFont val="Noto Sans CJK SC"/>
        <family val="2"/>
      </rPr>
      <t xml:space="preserve">승인</t>
    </r>
    <r>
      <rPr>
        <sz val="10"/>
        <color rgb="FF000000"/>
        <rFont val="Arial"/>
        <family val="0"/>
        <charset val="1"/>
      </rPr>
      <t xml:space="preserve">(#123 </t>
    </r>
    <r>
      <rPr>
        <sz val="10"/>
        <color rgb="FF000000"/>
        <rFont val="Noto Sans CJK SC"/>
        <family val="2"/>
      </rPr>
      <t xml:space="preserve">리뷰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원래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시간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시간 연속은 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세션 </t>
    </r>
    <r>
      <rPr>
        <sz val="10"/>
        <color rgb="FF000000"/>
        <rFont val="Arial"/>
        <family val="0"/>
        <charset val="1"/>
      </rPr>
      <t xml:space="preserve">gateway </t>
    </r>
    <r>
      <rPr>
        <sz val="10"/>
        <color rgb="FF000000"/>
        <rFont val="Noto Sans CJK SC"/>
        <family val="2"/>
      </rPr>
      <t xml:space="preserve">로그</t>
    </r>
    <r>
      <rPr>
        <sz val="10"/>
        <color rgb="FF000000"/>
        <rFont val="Arial"/>
        <family val="0"/>
        <charset val="1"/>
      </rPr>
      <t xml:space="preserve">(#121 </t>
    </r>
    <r>
      <rPr>
        <sz val="10"/>
        <color rgb="FF000000"/>
        <rFont val="Noto Sans CJK SC"/>
        <family val="2"/>
      </rPr>
      <t xml:space="preserve">빌드</t>
    </r>
    <r>
      <rPr>
        <sz val="10"/>
        <color rgb="FF000000"/>
        <rFont val="Arial"/>
        <family val="0"/>
        <charset val="1"/>
      </rPr>
      <t xml:space="preserve">, 60</t>
    </r>
    <r>
      <rPr>
        <sz val="10"/>
        <color rgb="FF000000"/>
        <rFont val="Noto Sans CJK SC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·FAULT 0), </t>
    </r>
    <r>
      <rPr>
        <sz val="10"/>
        <color rgb="FF000000"/>
        <rFont val="Noto Sans CJK SC"/>
        <family val="2"/>
      </rPr>
      <t xml:space="preserve">미달 시 추가 </t>
    </r>
    <r>
      <rPr>
        <sz val="10"/>
        <color rgb="FF000000"/>
        <rFont val="Arial"/>
        <family val="0"/>
        <charset val="1"/>
      </rPr>
      <t xml:space="preserve">soak)</t>
    </r>
  </si>
  <si>
    <t xml:space="preserve">SR-SW-04, SR-IF-08</t>
  </si>
  <si>
    <t xml:space="preserve">T33</t>
  </si>
  <si>
    <t xml:space="preserve">송장 제작·인쇄·부착 (10매 + 흐린 1), 카메라 노출·조명 세팅</t>
  </si>
  <si>
    <t xml:space="preserve">송장 세트 완성</t>
  </si>
  <si>
    <t xml:space="preserve">SR-HW-07, SR-NF-13</t>
  </si>
  <si>
    <t xml:space="preserve">T34</t>
  </si>
  <si>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제어 경로 결정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파지력 설정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종이 박스</t>
    </r>
    <r>
      <rPr>
        <sz val="10"/>
        <color rgb="FF000000"/>
        <rFont val="Arial"/>
        <family val="0"/>
        <charset val="1"/>
      </rPr>
      <t xml:space="preserve">)</t>
    </r>
  </si>
  <si>
    <t xml:space="preserve">찌그러짐 없는 파지 10회</t>
  </si>
  <si>
    <t xml:space="preserve">SR-HW-02, SR-SW-05</t>
  </si>
  <si>
    <t xml:space="preserve">T35</t>
  </si>
  <si>
    <t xml:space="preserve">정지 Pick and Place: move_to_zone, 격자 오프셋, 복귀</t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</si>
  <si>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구역 적재 각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성공</t>
    </r>
  </si>
  <si>
    <t xml:space="preserve">SR-FN-06, SR-IF-08</t>
  </si>
  <si>
    <t xml:space="preserve">T36</t>
  </si>
  <si>
    <t xml:space="preserve">적재 시퀀스 통합, 직접교시 teach_zone (Should)</t>
  </si>
  <si>
    <t xml:space="preserve">전체 루프에서 적재 동작</t>
  </si>
  <si>
    <t xml:space="preserve">SR-FN-17</t>
  </si>
  <si>
    <t xml:space="preserve">T37</t>
  </si>
  <si>
    <t xml:space="preserve">리허설 지원·환경 재점검</t>
  </si>
  <si>
    <t xml:space="preserve">SR-NF-10</t>
  </si>
  <si>
    <t xml:space="preserve">S2-T20</t>
  </si>
  <si>
    <t xml:space="preserve">10/13 18:00 Sprint 2 게이트 (팔레타이징 3개 동 완주, 음성 기동 1회 성공)</t>
  </si>
  <si>
    <t xml:space="preserve">시연 포함 여부 결정 기록</t>
  </si>
  <si>
    <t xml:space="preserve">BRD v1.4 10.2</t>
  </si>
  <si>
    <t xml:space="preserve">S2-T09</t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</si>
  <si>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음성 기동</t>
    </r>
    <r>
      <rPr>
        <sz val="10"/>
        <color rgb="FF000000"/>
        <rFont val="Arial"/>
        <family val="0"/>
        <charset val="1"/>
      </rPr>
      <t xml:space="preserve">] voss_launcher </t>
    </r>
    <r>
      <rPr>
        <sz val="10"/>
        <color rgb="FF000000"/>
        <rFont val="Noto Sans CJK SC"/>
        <family val="2"/>
      </rPr>
      <t xml:space="preserve">음성 시스템 기동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종료</t>
    </r>
  </si>
  <si>
    <t xml:space="preserve">기동 3/3, 3분 이내, 종료 3회</t>
  </si>
  <si>
    <t xml:space="preserve">TR-VOICE-11~16, NFR-16</t>
  </si>
  <si>
    <t xml:space="preserve">S2-T10</t>
  </si>
  <si>
    <t xml:space="preserve">정의석·김학민</t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</si>
  <si>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음성 기동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기동 프로필 </t>
    </r>
    <r>
      <rPr>
        <sz val="10"/>
        <color rgb="FF000000"/>
        <rFont val="Arial"/>
        <family val="0"/>
        <charset val="1"/>
      </rPr>
      <t xml:space="preserve">(g0-runbook → 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준비 확인 스크립트</t>
    </r>
    <r>
      <rPr>
        <sz val="10"/>
        <color rgb="FF000000"/>
        <rFont val="Arial"/>
        <family val="0"/>
        <charset val="1"/>
      </rPr>
      <t xml:space="preserve">)</t>
    </r>
  </si>
  <si>
    <t xml:space="preserve">스크립트만으로 수동 기동과 같은 상태</t>
  </si>
  <si>
    <t xml:space="preserve">TR-VOICE-13·16</t>
  </si>
  <si>
    <t xml:space="preserve">S2-T19</t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</si>
  <si>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인계 </t>
    </r>
    <r>
      <rPr>
        <sz val="10"/>
        <color rgb="FF000000"/>
        <rFont val="Arial"/>
        <family val="0"/>
        <charset val="1"/>
      </rPr>
      <t xml:space="preserve">T23] </t>
    </r>
    <r>
      <rPr>
        <sz val="10"/>
        <color rgb="FF000000"/>
        <rFont val="Noto Sans CJK SC"/>
        <family val="2"/>
      </rPr>
      <t xml:space="preserve">로그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성공률 집계</t>
    </r>
    <r>
      <rPr>
        <sz val="10"/>
        <color rgb="FF000000"/>
        <rFont val="Arial"/>
        <family val="0"/>
        <charset val="1"/>
      </rPr>
      <t xml:space="preserve">, 10/14 NFR-01~03 </t>
    </r>
    <r>
      <rPr>
        <sz val="10"/>
        <color rgb="FF000000"/>
        <rFont val="Noto Sans CJK SC"/>
        <family val="2"/>
      </rPr>
      <t xml:space="preserve">실측값 보고</t>
    </r>
  </si>
  <si>
    <t xml:space="preserve">NFR-01~03 실측값 표 PR</t>
  </si>
  <si>
    <t xml:space="preserve">NFR-01~03</t>
  </si>
  <si>
    <t xml:space="preserve">S2-T01</t>
  </si>
  <si>
    <t xml:space="preserve">[팔레타이징] Sprint 2 인터페이스 변경안 (docs/interfaces + voss_msgs 한 PR)</t>
  </si>
  <si>
    <t xml:space="preserve">interface PR 머지, 전체 빌드 통과</t>
  </si>
  <si>
    <t xml:space="preserve">BRD v1.4 10.7</t>
  </si>
  <si>
    <t xml:space="preserve">S2-T04</t>
  </si>
  <si>
    <t xml:space="preserve">[팔레타이징] 배치 계획 순수 함수 pallet_plan + 단위 시험</t>
  </si>
  <si>
    <t xml:space="preserve">단위 시험 통과</t>
  </si>
  <si>
    <t xml:space="preserve">TR-PAL-03·04</t>
  </si>
  <si>
    <t xml:space="preserve">S2-T05</t>
  </si>
  <si>
    <t xml:space="preserve">[팔레타이징] sort_manager PALLETIZING 상태·palletize 명령·멈춤/재개</t>
  </si>
  <si>
    <t xml:space="preserve">1개 동 → 3개 동 경로 실기 완주</t>
  </si>
  <si>
    <t xml:space="preserve">TR-PAL-02·05·06·08·10</t>
  </si>
  <si>
    <t xml:space="preserve">S2-T06</t>
  </si>
  <si>
    <t xml:space="preserve">[팔레타이징] 음성 palletize intent (route)</t>
  </si>
  <si>
    <t xml:space="preserve">palletize 5문장 중 5 정확</t>
  </si>
  <si>
    <t xml:space="preserve">TR-PAL-01</t>
  </si>
  <si>
    <t xml:space="preserve">S2-T07</t>
  </si>
  <si>
    <t xml:space="preserve">[팔레타이징] 기록: SortResult.slot, pallet_log, ListPlacements</t>
  </si>
  <si>
    <t xml:space="preserve">PalletResult 1건 → pallet_log 1행</t>
  </si>
  <si>
    <t xml:space="preserve">TR-PAL-03·09</t>
  </si>
  <si>
    <t xml:space="preserve">S2-T08</t>
  </si>
  <si>
    <t xml:space="preserve">[팔레타이징] HMI 경로 입력·진행률·팔레트 배치도</t>
  </si>
  <si>
    <t xml:space="preserve">HMI 버튼으로 1회 완주, 반영 ≤ 1초</t>
  </si>
  <si>
    <t xml:space="preserve">TR-PAL-10</t>
  </si>
  <si>
    <t xml:space="preserve">S2-T13</t>
  </si>
  <si>
    <t xml:space="preserve">[PL] 시연 단계 0·9 문안, 박스 구성 결정, 게이트 판정·문서 갱신</t>
  </si>
  <si>
    <t xml:space="preserve">대본 반영, 게이트 결정 기록</t>
  </si>
  <si>
    <t xml:space="preserve">BRD v1.4 10.8·10.10</t>
  </si>
  <si>
    <t xml:space="preserve">S2-T16</t>
  </si>
  <si>
    <t xml:space="preserve">[고도화·3순위] BoxTrack yaw 관측 + J6 회전 시 핸드아이 오차 측정</t>
  </si>
  <si>
    <t xml:space="preserve">0·15·30·45° yaw 오차 기록, interface PR</t>
  </si>
  <si>
    <t xml:space="preserve">TR-SERVO-04·06</t>
  </si>
  <si>
    <t xml:space="preserve">S2-T11</t>
  </si>
  <si>
    <t xml:space="preserve">[인계 T24] 리허설 중 검출·OCR 튜닝, 비전 이슈 1차 대응</t>
  </si>
  <si>
    <r>
      <rPr>
        <sz val="10"/>
        <color rgb="FF000000"/>
        <rFont val="Arial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실패 원인 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리허설 통과</t>
    </r>
  </si>
  <si>
    <t xml:space="preserve">NFR-02</t>
  </si>
  <si>
    <t xml:space="preserve">S2-T14</t>
  </si>
  <si>
    <t xml:space="preserve">[고도화·3순위] 하강·들기 사다리꼴 속도 프로파일</t>
  </si>
  <si>
    <r>
      <rPr>
        <sz val="10"/>
        <color rgb="FF000000"/>
        <rFont val="Noto Sans CJK SC"/>
        <family val="2"/>
      </rPr>
      <t xml:space="preserve">시뮬 통과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실기 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수준 유지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단계별 시간 표</t>
    </r>
  </si>
  <si>
    <t xml:space="preserve">TR-SERVO-01</t>
  </si>
  <si>
    <t xml:space="preserve">S2-T15</t>
  </si>
  <si>
    <t xml:space="preserve">[고도화·3순위] 온라인 벨트 속도 추정 (직선 맞춤, 단계 적용)</t>
  </si>
  <si>
    <r>
      <rPr>
        <sz val="10"/>
        <color rgb="FF000000"/>
        <rFont val="Noto Sans CJK SC"/>
        <family val="2"/>
      </rPr>
      <t xml:space="preserve">① 로그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 ② 정확도 보고 ③ 적용 여부 결정</t>
    </r>
  </si>
  <si>
    <t xml:space="preserve">TR-SERVO-02·03</t>
  </si>
  <si>
    <t xml:space="preserve">S2-T18</t>
  </si>
  <si>
    <t xml:space="preserve">[고도화·3순위] J6 회전 파지 (TRACK 초반 회전, LIFT 원위치)</t>
  </si>
  <si>
    <r>
      <rPr>
        <sz val="10"/>
        <color rgb="FF000000"/>
        <rFont val="Noto Sans CJK SC"/>
        <family val="2"/>
      </rPr>
      <t xml:space="preserve">단계별 결과 기록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장면 포함 여부 결정</t>
    </r>
  </si>
  <si>
    <t xml:space="preserve">TR-SERVO-05·07</t>
  </si>
  <si>
    <t xml:space="preserve">S2-T02</t>
  </si>
  <si>
    <t xml:space="preserve">김학민·남현지</t>
  </si>
  <si>
    <t xml:space="preserve">팔레트 구역 좌표 교시·9칸 ikin 도달성, 베이스 위치 재측정</t>
  </si>
  <si>
    <t xml:space="preserve">9칸 ikin 해 또는 대안 배치, measurements PR</t>
  </si>
  <si>
    <t xml:space="preserve">TR-PAL-06·07, R-18~21</t>
  </si>
  <si>
    <t xml:space="preserve">S2-T03</t>
  </si>
  <si>
    <t xml:space="preserve">MoveToZone PICK(10/13→10/12)·DROP·PALLET 칸 계산·관절 경유점</t>
  </si>
  <si>
    <t xml:space="preserve">A·B·C PICK 10회, 팔레트 9칸 DROP</t>
  </si>
  <si>
    <t xml:space="preserve">TR-PAL-05~07</t>
  </si>
  <si>
    <t xml:space="preserve">S2-T12</t>
  </si>
  <si>
    <t xml:space="preserve">[인계 T23·T24] 재확인 흐름 실기(흐린 송장 완주 3회), 시연 대본 운영, 리허설 진행·판정</t>
  </si>
  <si>
    <t xml:space="preserve">흐린 송장 완주 3회, 회차별 판정 기록</t>
  </si>
  <si>
    <t xml:space="preserve">TR-OCR-06·07, NFR-07</t>
  </si>
  <si>
    <t xml:space="preserve">S2-T17</t>
  </si>
  <si>
    <t xml:space="preserve">[고도화·3순위] gateway 회전 가속·각속도, 에뮬레이터 확인, 그리퍼-벨트 프레임 간섭 측정</t>
  </si>
  <si>
    <t xml:space="preserve">에뮬레이터·간섭 측정 기록</t>
  </si>
  <si>
    <t xml:space="preserve">TR-SERVO-06</t>
  </si>
  <si>
    <t xml:space="preserve">파트별 진행률</t>
  </si>
  <si>
    <t xml:space="preserve">작업 수</t>
  </si>
  <si>
    <t xml:space="preserve">완료</t>
  </si>
  <si>
    <t xml:space="preserve">진행</t>
  </si>
  <si>
    <t xml:space="preserve">지연</t>
  </si>
  <si>
    <t xml:space="preserve">완료율 (진행률=완료)</t>
  </si>
  <si>
    <t xml:space="preserve">범례: 회색 날짜 = 휴무(10/5·10/9)·주말(10/10·11, 강의실 사용 가능). 막대 색 = 파트. 출처: VOSS BRD 6.3·6.4, SRD 16장 (2026-10-05). v1.4(2026-10-12): S2-TXX = Sprint 2 작업(BRD v1.4 10장, 이슈 초안과 같은 번호), T22 를 10/11 로 당김, T23·T24 인계.</t>
  </si>
  <si>
    <r>
      <rPr>
        <b val="true"/>
        <sz val="14"/>
        <color rgb="FF000000"/>
        <rFont val="Arial"/>
        <family val="0"/>
        <charset val="1"/>
      </rPr>
      <t xml:space="preserve">VOSS </t>
    </r>
    <r>
      <rPr>
        <b val="true"/>
        <sz val="14"/>
        <color rgb="FF000000"/>
        <rFont val="Noto Sans CJK SC"/>
        <family val="2"/>
      </rPr>
      <t xml:space="preserve">마일스톤</t>
    </r>
  </si>
  <si>
    <t xml:space="preserve">날짜</t>
  </si>
  <si>
    <t xml:space="preserve">마일스톤</t>
  </si>
  <si>
    <t xml:space="preserve">통과 기준</t>
  </si>
  <si>
    <t xml:space="preserve">관련</t>
  </si>
  <si>
    <t xml:space="preserve">인터페이스 확정</t>
  </si>
  <si>
    <t xml:space="preserve">노드·토픽·서비스 이름, intent JSON, voss_config.yaml 형식을 레포에 커밋</t>
  </si>
  <si>
    <r>
      <rPr>
        <sz val="10"/>
        <color rgb="FF000000"/>
        <rFont val="Arial"/>
        <family val="0"/>
        <charset val="1"/>
      </rPr>
      <t xml:space="preserve">SRD 9</t>
    </r>
    <r>
      <rPr>
        <sz val="10"/>
        <color rgb="FF000000"/>
        <rFont val="Noto Sans CJK SC"/>
        <family val="2"/>
      </rPr>
      <t xml:space="preserve">장</t>
    </r>
  </si>
  <si>
    <t xml:space="preserve">실측·확인 완료</t>
  </si>
  <si>
    <t xml:space="preserve">벨트 속도표, 작업대 좌표, 컨트롤러 버전, 서보 토픽 유무, RG2 경로, GPU 사양, 캘리브레이션 기록</t>
  </si>
  <si>
    <t xml:space="preserve">중간 점검 발표</t>
  </si>
  <si>
    <t xml:space="preserve">주제·진행 방향·진행률 설명 완료</t>
  </si>
  <si>
    <t xml:space="preserve">정지 Pick and Place 동작</t>
  </si>
  <si>
    <t xml:space="preserve">SR-FN-06</t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</si>
  <si>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</t>
    </r>
  </si>
  <si>
    <t xml:space="preserve">추종 파지 성공률 ≥ 70% (20회). 미달 시 B 개루프 동기 추종 전환 또는 범위 축소</t>
  </si>
  <si>
    <t xml:space="preserve">전체 루프 통합 (v1.4: 10/13 → 10/11, 남현지) · Sprint 1 마감</t>
  </si>
  <si>
    <t xml:space="preserve">음성 → 판독 → 파지 → 적재 → HMI·DB 한 번에 완주</t>
  </si>
  <si>
    <t xml:space="preserve">SR-FN-15·20</t>
  </si>
  <si>
    <t xml:space="preserve">Sprint 2 게이트 (18:00)</t>
  </si>
  <si>
    <t xml:space="preserve">팔레타이징 3개 동 경로 실기 1회 완주, 음성 시스템 기동 실기 1회 성공. 미달 기능은 시연 제외</t>
  </si>
  <si>
    <t xml:space="preserve">파트별 역할 완료</t>
  </si>
  <si>
    <t xml:space="preserve">리허설 로그로 NFR-01~03 실측값 확보 (v1.4: 남현지 몫 T23·T24 인계, NFR 보고 정의석)</t>
  </si>
  <si>
    <t xml:space="preserve">시연</t>
  </si>
  <si>
    <r>
      <rPr>
        <sz val="10"/>
        <color rgb="FF000000"/>
        <rFont val="Noto Sans CJK SC"/>
        <family val="2"/>
      </rPr>
      <t xml:space="preserve">박스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단계 대본 완주</t>
    </r>
    <r>
      <rPr>
        <sz val="10"/>
        <color rgb="FF000000"/>
        <rFont val="Arial"/>
        <family val="0"/>
        <charset val="1"/>
      </rPr>
      <t xml:space="preserve">, 8</t>
    </r>
    <r>
      <rPr>
        <sz val="10"/>
        <color rgb="FF000000"/>
        <rFont val="Noto Sans CJK SC"/>
        <family val="2"/>
      </rPr>
      <t xml:space="preserve">개 이상 올바른 구역 </t>
    </r>
    <r>
      <rPr>
        <sz val="10"/>
        <color rgb="FF000000"/>
        <rFont val="Arial"/>
        <family val="0"/>
        <charset val="1"/>
      </rPr>
      <t xml:space="preserve">+ v1.4 </t>
    </r>
    <r>
      <rPr>
        <sz val="10"/>
        <color rgb="FF000000"/>
        <rFont val="Noto Sans CJK SC"/>
        <family val="2"/>
      </rPr>
      <t xml:space="preserve">단계 </t>
    </r>
    <r>
      <rPr>
        <sz val="10"/>
        <color rgb="FF000000"/>
        <rFont val="Arial"/>
        <family val="0"/>
        <charset val="1"/>
      </rPr>
      <t xml:space="preserve">0(</t>
    </r>
    <r>
      <rPr>
        <sz val="10"/>
        <color rgb="FF000000"/>
        <rFont val="Noto Sans CJK SC"/>
        <family val="2"/>
      </rPr>
      <t xml:space="preserve">음성 기동</t>
    </r>
    <r>
      <rPr>
        <sz val="10"/>
        <color rgb="FF000000"/>
        <rFont val="Arial"/>
        <family val="0"/>
        <charset val="1"/>
      </rPr>
      <t xml:space="preserve">)·9(</t>
    </r>
    <r>
      <rPr>
        <sz val="10"/>
        <color rgb="FF000000"/>
        <rFont val="Noto Sans CJK SC"/>
        <family val="2"/>
      </rPr>
      <t xml:space="preserve">팔레타이징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게이트 통과 시</t>
    </r>
  </si>
  <si>
    <t xml:space="preserve">SR-NF-06, BRD 8.1</t>
  </si>
  <si>
    <t xml:space="preserve">발표</t>
  </si>
  <si>
    <r>
      <rPr>
        <sz val="10"/>
        <color rgb="FF000000"/>
        <rFont val="Arial"/>
        <family val="0"/>
        <charset val="1"/>
      </rPr>
      <t xml:space="preserve">PPT </t>
    </r>
    <r>
      <rPr>
        <sz val="10"/>
        <color rgb="FF000000"/>
        <rFont val="Noto Sans CJK SC"/>
        <family val="2"/>
      </rPr>
      <t xml:space="preserve">발표 완료</t>
    </r>
  </si>
  <si>
    <r>
      <rPr>
        <b val="true"/>
        <sz val="14"/>
        <color rgb="FF000000"/>
        <rFont val="Arial"/>
        <family val="0"/>
        <charset val="1"/>
      </rPr>
      <t xml:space="preserve">10/06 </t>
    </r>
    <r>
      <rPr>
        <b val="true"/>
        <sz val="14"/>
        <color rgb="FF000000"/>
        <rFont val="Noto Sans CJK SC"/>
        <family val="2"/>
      </rPr>
      <t xml:space="preserve">실측</t>
    </r>
    <r>
      <rPr>
        <b val="true"/>
        <sz val="14"/>
        <color rgb="FF000000"/>
        <rFont val="Arial"/>
        <family val="0"/>
        <charset val="1"/>
      </rPr>
      <t xml:space="preserve">·</t>
    </r>
    <r>
      <rPr>
        <b val="true"/>
        <sz val="14"/>
        <color rgb="FF000000"/>
        <rFont val="Noto Sans CJK SC"/>
        <family val="2"/>
      </rPr>
      <t xml:space="preserve">확인 체크리스트</t>
    </r>
  </si>
  <si>
    <t xml:space="preserve">#</t>
  </si>
  <si>
    <t xml:space="preserve">항목</t>
  </si>
  <si>
    <t xml:space="preserve">결과 기록 (값·단위)</t>
  </si>
  <si>
    <t xml:space="preserve">관련 SR</t>
  </si>
  <si>
    <t xml:space="preserve">벨트 속도: 아두이노 설정값별 cm/s 표, 10 cm/s 이하 설정 확인</t>
  </si>
  <si>
    <t xml:space="preserve">SR-HW-04, SR-FN-04</t>
  </si>
  <si>
    <t xml:space="preserve">□</t>
  </si>
  <si>
    <t xml:space="preserve">두산 컨트롤러 DRCF·doosan-robot2 버전 재확인</t>
  </si>
  <si>
    <t xml:space="preserve">SR-HW-01, SR-SW-04</t>
  </si>
  <si>
    <t xml:space="preserve">서보 스트리밍 토픽(servol_stream 계열) 가능 여부</t>
  </si>
  <si>
    <t xml:space="preserve">SR-IF-09</t>
  </si>
  <si>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제어 경로</t>
    </r>
    <r>
      <rPr>
        <sz val="10"/>
        <color rgb="FF000000"/>
        <rFont val="Arial"/>
        <family val="0"/>
        <charset val="1"/>
      </rPr>
      <t xml:space="preserve">: Modbus TCP </t>
    </r>
    <r>
      <rPr>
        <sz val="10"/>
        <color rgb="FF000000"/>
        <rFont val="Noto Sans CJK SC"/>
        <family val="2"/>
      </rPr>
      <t xml:space="preserve">직접 </t>
    </r>
    <r>
      <rPr>
        <sz val="10"/>
        <color rgb="FF000000"/>
        <rFont val="Arial"/>
        <family val="0"/>
        <charset val="1"/>
      </rPr>
      <t xml:space="preserve">vs onrobot ROS 2 </t>
    </r>
    <r>
      <rPr>
        <sz val="10"/>
        <color rgb="FF000000"/>
        <rFont val="Noto Sans CJK SC"/>
        <family val="2"/>
      </rPr>
      <t xml:space="preserve">드라이버</t>
    </r>
  </si>
  <si>
    <t xml:space="preserve">공용 PC GPU·RAM 사양, USB 3.0 포트 수, NIC 2개 여부</t>
  </si>
  <si>
    <t xml:space="preserve">SR-HW-09</t>
  </si>
  <si>
    <t xml:space="preserve">작업대 치수, 로봇 설치 위치·베이스 높이, 5구역 좌표</t>
  </si>
  <si>
    <t xml:space="preserve">SR-HW-08</t>
  </si>
  <si>
    <t xml:space="preserve">핸드아이 캘리브레이션 결과 (검증점 오차 mm)</t>
  </si>
  <si>
    <t xml:space="preserve">종이 박스를 찌그러뜨리지 않는 RG2 파지력·폭 값</t>
  </si>
  <si>
    <t xml:space="preserve">SR-HW-02</t>
  </si>
  <si>
    <t xml:space="preserve">시연장 조도, 보조 LED 필요 여부, 카메라 노출 5~8 ms 확인</t>
  </si>
  <si>
    <t xml:space="preserve">SR-HW-12</t>
  </si>
  <si>
    <t xml:space="preserve">내장 마이크로 1 m 거리 호출어 인식 확인</t>
  </si>
  <si>
    <t xml:space="preserve">SR-HW-11</t>
  </si>
  <si>
    <t xml:space="preserve">팀이 정해야 할 항목 (SRD 16장)</t>
  </si>
  <si>
    <t xml:space="preserve">기한</t>
  </si>
  <si>
    <t xml:space="preserve">결정 내용</t>
  </si>
  <si>
    <t xml:space="preserve">노드·토픽·서비스·메시지 이름 확정 (SRD 9장 제안 수용 또는 수정)</t>
  </si>
  <si>
    <t xml:space="preserve">SR-IF-01~12</t>
  </si>
  <si>
    <t xml:space="preserve">미정</t>
  </si>
  <si>
    <t xml:space="preserve">호출어 검출 엔진 (키워드 매칭 / 경량 모델)</t>
  </si>
  <si>
    <t xml:space="preserve">SR-SW-10</t>
  </si>
  <si>
    <r>
      <rPr>
        <sz val="10"/>
        <color rgb="FF000000"/>
        <rFont val="Arial"/>
        <family val="0"/>
        <charset val="1"/>
      </rPr>
      <t xml:space="preserve">Whisper </t>
    </r>
    <r>
      <rPr>
        <sz val="10"/>
        <color rgb="FF000000"/>
        <rFont val="Noto Sans CJK SC"/>
        <family val="2"/>
      </rPr>
      <t xml:space="preserve">모델 크기</t>
    </r>
  </si>
  <si>
    <t xml:space="preserve">SR-SW-11</t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</si>
  <si>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Noto Sans CJK SC"/>
        <family val="2"/>
      </rPr>
      <t xml:space="preserve">엔진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로컬 </t>
    </r>
    <r>
      <rPr>
        <sz val="10"/>
        <color rgb="FF000000"/>
        <rFont val="Arial"/>
        <family val="0"/>
        <charset val="1"/>
      </rPr>
      <t xml:space="preserve">/ OpenAI TTS)</t>
    </r>
  </si>
  <si>
    <t xml:space="preserve">박스 검출 방식: YOLO 학습 vs 세그멘테이션, 라벨링 도구</t>
  </si>
  <si>
    <t xml:space="preserve">SR-SW-07</t>
  </si>
  <si>
    <t xml:space="preserve">웹 HMI 스택·실행 위치, MQTT 토픽 JSON 스키마</t>
  </si>
  <si>
    <t xml:space="preserve">SR-SW-17, SR-IF-10</t>
  </si>
  <si>
    <t xml:space="preserve">작업 로그 DB 종류</t>
  </si>
  <si>
    <t xml:space="preserve">SR-SW-18</t>
  </si>
  <si>
    <t xml:space="preserve">흐린 송장 인쇄 농도</t>
  </si>
  <si>
    <t xml:space="preserve">SR-HW-07</t>
  </si>
  <si>
    <t xml:space="preserve">시연 송장 받는 사람 이름 목록</t>
  </si>
  <si>
    <r>
      <rPr>
        <sz val="10"/>
        <color rgb="FF000000"/>
        <rFont val="Arial"/>
        <family val="0"/>
        <charset val="1"/>
      </rPr>
      <t xml:space="preserve">6.4 </t>
    </r>
    <r>
      <rPr>
        <sz val="10"/>
        <color rgb="FF000000"/>
        <rFont val="Noto Sans CJK SC"/>
        <family val="2"/>
      </rPr>
      <t xml:space="preserve">역할 배정 확정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현재 팀 검토 예정</t>
    </r>
    <r>
      <rPr>
        <sz val="10"/>
        <color rgb="FF000000"/>
        <rFont val="Arial"/>
        <family val="0"/>
        <charset val="1"/>
      </rPr>
      <t xml:space="preserve">)</t>
    </r>
  </si>
  <si>
    <t xml:space="preserve">BRD 6.4</t>
  </si>
  <si>
    <t xml:space="preserve">레포 생성, 이슈 템플릿, 인터페이스 문서 위치</t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</si>
  <si>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 기준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추종 파지 </t>
    </r>
    <r>
      <rPr>
        <sz val="10"/>
        <color rgb="FF000000"/>
        <rFont val="Arial"/>
        <family val="0"/>
        <charset val="1"/>
      </rPr>
      <t xml:space="preserve">70%) </t>
    </r>
    <r>
      <rPr>
        <sz val="10"/>
        <color rgb="FF000000"/>
        <rFont val="Noto Sans CJK SC"/>
        <family val="2"/>
      </rPr>
      <t xml:space="preserve">승인</t>
    </r>
  </si>
  <si>
    <t xml:space="preserve">수치 목표(파지 70%, OCR 90/95%, 지시 95%, 사이클 30초, 10개 중 8개) 승인</t>
  </si>
  <si>
    <r>
      <rPr>
        <sz val="10"/>
        <color rgb="FF000000"/>
        <rFont val="Arial"/>
        <family val="0"/>
        <charset val="1"/>
      </rPr>
      <t xml:space="preserve">SRD 10</t>
    </r>
    <r>
      <rPr>
        <sz val="10"/>
        <color rgb="FF000000"/>
        <rFont val="Noto Sans CJK SC"/>
        <family val="2"/>
      </rPr>
      <t xml:space="preserve">장</t>
    </r>
  </si>
  <si>
    <t xml:space="preserve">[Sprint 2] 시연 박스 구성: 흐린 송장 박스 동이 4개가 되는 문제 (동별 최대 3개)</t>
  </si>
  <si>
    <t xml:space="preserve">제안: 동별 3개·총 9개</t>
  </si>
  <si>
    <t xml:space="preserve">BRD v1.4 10.10 #1</t>
  </si>
  <si>
    <t xml:space="preserve">[Sprint 2] 로봇 베이스 실측 기준점과 그림 치수 차이</t>
  </si>
  <si>
    <t xml:space="preserve">제안: 팔레트 교시 때 재측정</t>
  </si>
  <si>
    <t xml:space="preserve">10.10 #2</t>
  </si>
  <si>
    <t xml:space="preserve">[Sprint 2] 음성 기동 범위: 컨트롤러 전원·서보 ON 포함 여부</t>
  </si>
  <si>
    <t xml:space="preserve">정의석, 김학민</t>
  </si>
  <si>
    <t xml:space="preserve">제안: 음성은 ROS 스택 기동부터</t>
  </si>
  <si>
    <t xml:space="preserve">10.10 #3</t>
  </si>
  <si>
    <t xml:space="preserve">[Sprint 2] voss_launcher 실행 방식</t>
  </si>
  <si>
    <t xml:space="preserve">제안: systemd user 서비스</t>
  </si>
  <si>
    <t xml:space="preserve">10.10 #4</t>
  </si>
  <si>
    <t xml:space="preserve">[Sprint 2] 팔레트 열 안 칸 피치와 놓을 때 개방 폭</t>
  </si>
  <si>
    <t xml:space="preserve">손가락 두께 실측 후</t>
  </si>
  <si>
    <t xml:space="preserve">10.10 #5</t>
  </si>
  <si>
    <t xml:space="preserve">[Sprint 2] 팔레트 이력 음성 질의 포함 여부</t>
  </si>
  <si>
    <t xml:space="preserve">남현지, 정의석</t>
  </si>
  <si>
    <t xml:space="preserve">Should</t>
  </si>
  <si>
    <t xml:space="preserve">10.10 #6</t>
  </si>
  <si>
    <t xml:space="preserve">[Sprint 2] 성공률 집계·NFR-01~03 보고 담당</t>
  </si>
  <si>
    <t xml:space="preserve">남현지(PL)</t>
  </si>
  <si>
    <t xml:space="preserve">박병후 → 정의석 (10/12 PL 승인)</t>
  </si>
  <si>
    <t xml:space="preserve">10.10 #7</t>
  </si>
  <si>
    <t xml:space="preserve">결정</t>
  </si>
  <si>
    <t xml:space="preserve">[Sprint 2] 추종·파지 새 사이클 목표</t>
  </si>
  <si>
    <t xml:space="preserve">사다리꼴 실측 뒤, NFR-04 유지</t>
  </si>
  <si>
    <t xml:space="preserve">10.10 #8</t>
  </si>
  <si>
    <t xml:space="preserve">[Sprint 2] J6 허용 범위와 범위 밖 박스 처리</t>
  </si>
  <si>
    <t xml:space="preserve">실험 뒤 확정</t>
  </si>
  <si>
    <t xml:space="preserve">10.10 #9</t>
  </si>
  <si>
    <t xml:space="preserve">[Sprint 2] grasp.hold_width_max_mm 43.5 → 44.0</t>
  </si>
  <si>
    <t xml:space="preserve">PR 반영</t>
  </si>
  <si>
    <t xml:space="preserve">10.10 #10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</si>
</sst>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"/>
    <numFmt numFmtId="166" formatCode="General"/>
    <numFmt numFmtId="167" formatCode="0%"/>
    <numFmt numFmtId="168" formatCode="m/d&quot; (&quot;ddd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Noto Sans CJK SC"/>
      <family val="2"/>
    </font>
    <font>
      <sz val="10"/>
      <color rgb="FF59595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sz val="9"/>
      <color rgb="FF595959"/>
      <name val="Arial"/>
      <family val="0"/>
      <charset val="1"/>
    </font>
    <font>
      <sz val="9"/>
      <color rgb="FF548235"/>
      <name val="Arial"/>
      <family val="0"/>
      <charset val="1"/>
    </font>
    <font>
      <sz val="9"/>
      <color rgb="FF2F75B5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BF8F00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548235"/>
      </font>
      <fill>
        <patternFill>
          <bgColor rgb="FF548235"/>
        </patternFill>
      </fill>
    </dxf>
    <dxf>
      <font>
        <name val="Arial"/>
        <charset val="1"/>
        <family val="0"/>
        <color rgb="FF2F75B5"/>
      </font>
      <fill>
        <patternFill>
          <bgColor rgb="FF2F75B5"/>
        </patternFill>
      </fill>
    </dxf>
    <dxf>
      <font>
        <name val="Arial"/>
        <charset val="1"/>
        <family val="0"/>
        <color rgb="FFC55A11"/>
      </font>
      <fill>
        <patternFill>
          <bgColor rgb="FFC55A11"/>
        </patternFill>
      </fill>
    </dxf>
    <dxf>
      <font>
        <name val="Arial"/>
        <charset val="1"/>
        <family val="0"/>
        <color rgb="FFBF8F00"/>
      </font>
      <fill>
        <patternFill>
          <bgColor rgb="FFBF8F00"/>
        </patternFill>
      </fill>
    </dxf>
    <dxf>
      <font>
        <name val="Arial"/>
        <charset val="1"/>
        <family val="0"/>
        <color rgb="FF595959"/>
      </font>
      <fill>
        <patternFill>
          <bgColor rgb="FF5959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6" min="5" style="1" width="7"/>
    <col collapsed="false" customWidth="true" hidden="false" outlineLevel="0" max="7" min="7" style="1" width="5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1" min="10" style="1" width="7"/>
    <col collapsed="false" customWidth="true" hidden="false" outlineLevel="0" max="23" min="12" style="1" width="4.2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6" t="n">
        <v>46300</v>
      </c>
      <c r="M4" s="7" t="n">
        <v>46301</v>
      </c>
      <c r="N4" s="7" t="n">
        <v>46302</v>
      </c>
      <c r="O4" s="7" t="n">
        <v>46303</v>
      </c>
      <c r="P4" s="6" t="n">
        <v>46304</v>
      </c>
      <c r="Q4" s="6" t="n">
        <v>46305</v>
      </c>
      <c r="R4" s="6" t="n">
        <v>46306</v>
      </c>
      <c r="S4" s="7" t="n">
        <v>46307</v>
      </c>
      <c r="T4" s="7" t="n">
        <v>46308</v>
      </c>
      <c r="U4" s="7" t="n">
        <v>46309</v>
      </c>
      <c r="V4" s="7" t="n">
        <v>46310</v>
      </c>
      <c r="W4" s="7" t="n">
        <v>46311</v>
      </c>
    </row>
    <row r="5" customFormat="false" ht="15" hidden="false" customHeight="true" outlineLevel="0" collapsed="false">
      <c r="D5" s="3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  <c r="T5" s="8" t="s">
        <v>15</v>
      </c>
      <c r="U5" s="8" t="s">
        <v>16</v>
      </c>
      <c r="V5" s="8" t="s">
        <v>17</v>
      </c>
      <c r="W5" s="8" t="s">
        <v>22</v>
      </c>
    </row>
    <row r="6" customFormat="false" ht="30" hidden="false" customHeight="true" outlineLevel="0" collapsed="false">
      <c r="A6" s="9" t="s">
        <v>23</v>
      </c>
      <c r="B6" s="10" t="s">
        <v>24</v>
      </c>
      <c r="C6" s="11" t="s">
        <v>25</v>
      </c>
      <c r="D6" s="11" t="s">
        <v>26</v>
      </c>
      <c r="E6" s="12" t="n">
        <v>46300</v>
      </c>
      <c r="F6" s="12" t="n">
        <v>46300</v>
      </c>
      <c r="G6" s="9" t="n">
        <f aca="false">F6-E6+1</f>
        <v>1</v>
      </c>
      <c r="H6" s="11" t="s">
        <v>27</v>
      </c>
      <c r="I6" s="9" t="s">
        <v>28</v>
      </c>
      <c r="J6" s="13" t="s">
        <v>29</v>
      </c>
      <c r="K6" s="14" t="s">
        <v>30</v>
      </c>
      <c r="L6" s="15" t="str">
        <f aca="false">IF(AND(L$4&gt;=$E6,L$4&lt;=$F6),"■","")</f>
        <v>■</v>
      </c>
      <c r="M6" s="15" t="str">
        <f aca="false">IF(AND(M$4&gt;=$E6,M$4&lt;=$F6),"■","")</f>
        <v/>
      </c>
      <c r="N6" s="15" t="str">
        <f aca="false">IF(AND(N$4&gt;=$E6,N$4&lt;=$F6),"■","")</f>
        <v/>
      </c>
      <c r="O6" s="15" t="str">
        <f aca="false">IF(AND(O$4&gt;=$E6,O$4&lt;=$F6),"■","")</f>
        <v/>
      </c>
      <c r="P6" s="15" t="str">
        <f aca="false">IF(AND(P$4&gt;=$E6,P$4&lt;=$F6),"■","")</f>
        <v/>
      </c>
      <c r="Q6" s="15" t="str">
        <f aca="false">IF(AND(Q$4&gt;=$E6,Q$4&lt;=$F6),"■","")</f>
        <v/>
      </c>
      <c r="R6" s="15" t="str">
        <f aca="false">IF(AND(R$4&gt;=$E6,R$4&lt;=$F6),"■","")</f>
        <v/>
      </c>
      <c r="S6" s="15" t="str">
        <f aca="false">IF(AND(S$4&gt;=$E6,S$4&lt;=$F6),"■","")</f>
        <v/>
      </c>
      <c r="T6" s="15" t="str">
        <f aca="false">IF(AND(T$4&gt;=$E6,T$4&lt;=$F6),"■","")</f>
        <v/>
      </c>
      <c r="U6" s="15" t="str">
        <f aca="false">IF(AND(U$4&gt;=$E6,U$4&lt;=$F6),"■","")</f>
        <v/>
      </c>
      <c r="V6" s="15" t="str">
        <f aca="false">IF(AND(V$4&gt;=$E6,V$4&lt;=$F6),"■","")</f>
        <v/>
      </c>
      <c r="W6" s="15" t="str">
        <f aca="false">IF(AND(W$4&gt;=$E6,W$4&lt;=$F6),"■","")</f>
        <v/>
      </c>
    </row>
    <row r="7" customFormat="false" ht="30" hidden="false" customHeight="true" outlineLevel="0" collapsed="false">
      <c r="A7" s="9" t="s">
        <v>31</v>
      </c>
      <c r="B7" s="10" t="s">
        <v>24</v>
      </c>
      <c r="C7" s="11" t="s">
        <v>25</v>
      </c>
      <c r="D7" s="9" t="s">
        <v>32</v>
      </c>
      <c r="E7" s="12" t="n">
        <v>46301</v>
      </c>
      <c r="F7" s="12" t="n">
        <v>46301</v>
      </c>
      <c r="G7" s="9" t="n">
        <f aca="false">F7-E7+1</f>
        <v>1</v>
      </c>
      <c r="H7" s="11" t="s">
        <v>33</v>
      </c>
      <c r="I7" s="9" t="s">
        <v>34</v>
      </c>
      <c r="J7" s="13" t="s">
        <v>29</v>
      </c>
      <c r="K7" s="14" t="s">
        <v>30</v>
      </c>
      <c r="L7" s="15" t="str">
        <f aca="false">IF(AND(L$4&gt;=$E7,L$4&lt;=$F7),"■","")</f>
        <v/>
      </c>
      <c r="M7" s="15" t="str">
        <f aca="false">IF(AND(M$4&gt;=$E7,M$4&lt;=$F7),"■","")</f>
        <v>■</v>
      </c>
      <c r="N7" s="15" t="str">
        <f aca="false">IF(AND(N$4&gt;=$E7,N$4&lt;=$F7),"■","")</f>
        <v/>
      </c>
      <c r="O7" s="15" t="str">
        <f aca="false">IF(AND(O$4&gt;=$E7,O$4&lt;=$F7),"■","")</f>
        <v/>
      </c>
      <c r="P7" s="15" t="str">
        <f aca="false">IF(AND(P$4&gt;=$E7,P$4&lt;=$F7),"■","")</f>
        <v/>
      </c>
      <c r="Q7" s="15" t="str">
        <f aca="false">IF(AND(Q$4&gt;=$E7,Q$4&lt;=$F7),"■","")</f>
        <v/>
      </c>
      <c r="R7" s="15" t="str">
        <f aca="false">IF(AND(R$4&gt;=$E7,R$4&lt;=$F7),"■","")</f>
        <v/>
      </c>
      <c r="S7" s="15" t="str">
        <f aca="false">IF(AND(S$4&gt;=$E7,S$4&lt;=$F7),"■","")</f>
        <v/>
      </c>
      <c r="T7" s="15" t="str">
        <f aca="false">IF(AND(T$4&gt;=$E7,T$4&lt;=$F7),"■","")</f>
        <v/>
      </c>
      <c r="U7" s="15" t="str">
        <f aca="false">IF(AND(U$4&gt;=$E7,U$4&lt;=$F7),"■","")</f>
        <v/>
      </c>
      <c r="V7" s="15" t="str">
        <f aca="false">IF(AND(V$4&gt;=$E7,V$4&lt;=$F7),"■","")</f>
        <v/>
      </c>
      <c r="W7" s="15" t="str">
        <f aca="false">IF(AND(W$4&gt;=$E7,W$4&lt;=$F7),"■","")</f>
        <v/>
      </c>
    </row>
    <row r="8" customFormat="false" ht="30" hidden="false" customHeight="true" outlineLevel="0" collapsed="false">
      <c r="A8" s="9" t="s">
        <v>35</v>
      </c>
      <c r="B8" s="10" t="s">
        <v>24</v>
      </c>
      <c r="C8" s="11" t="s">
        <v>25</v>
      </c>
      <c r="D8" s="11" t="s">
        <v>36</v>
      </c>
      <c r="E8" s="12" t="n">
        <v>46302</v>
      </c>
      <c r="F8" s="12" t="n">
        <v>46302</v>
      </c>
      <c r="G8" s="9" t="n">
        <f aca="false">F8-E8+1</f>
        <v>1</v>
      </c>
      <c r="H8" s="11" t="s">
        <v>37</v>
      </c>
      <c r="I8" s="9" t="s">
        <v>38</v>
      </c>
      <c r="J8" s="13" t="s">
        <v>29</v>
      </c>
      <c r="K8" s="14" t="s">
        <v>30</v>
      </c>
      <c r="L8" s="15" t="str">
        <f aca="false">IF(AND(L$4&gt;=$E8,L$4&lt;=$F8),"■","")</f>
        <v/>
      </c>
      <c r="M8" s="15" t="str">
        <f aca="false">IF(AND(M$4&gt;=$E8,M$4&lt;=$F8),"■","")</f>
        <v/>
      </c>
      <c r="N8" s="15" t="str">
        <f aca="false">IF(AND(N$4&gt;=$E8,N$4&lt;=$F8),"■","")</f>
        <v>■</v>
      </c>
      <c r="O8" s="15" t="str">
        <f aca="false">IF(AND(O$4&gt;=$E8,O$4&lt;=$F8),"■","")</f>
        <v/>
      </c>
      <c r="P8" s="15" t="str">
        <f aca="false">IF(AND(P$4&gt;=$E8,P$4&lt;=$F8),"■","")</f>
        <v/>
      </c>
      <c r="Q8" s="15" t="str">
        <f aca="false">IF(AND(Q$4&gt;=$E8,Q$4&lt;=$F8),"■","")</f>
        <v/>
      </c>
      <c r="R8" s="15" t="str">
        <f aca="false">IF(AND(R$4&gt;=$E8,R$4&lt;=$F8),"■","")</f>
        <v/>
      </c>
      <c r="S8" s="15" t="str">
        <f aca="false">IF(AND(S$4&gt;=$E8,S$4&lt;=$F8),"■","")</f>
        <v/>
      </c>
      <c r="T8" s="15" t="str">
        <f aca="false">IF(AND(T$4&gt;=$E8,T$4&lt;=$F8),"■","")</f>
        <v/>
      </c>
      <c r="U8" s="15" t="str">
        <f aca="false">IF(AND(U$4&gt;=$E8,U$4&lt;=$F8),"■","")</f>
        <v/>
      </c>
      <c r="V8" s="15" t="str">
        <f aca="false">IF(AND(V$4&gt;=$E8,V$4&lt;=$F8),"■","")</f>
        <v/>
      </c>
      <c r="W8" s="15" t="str">
        <f aca="false">IF(AND(W$4&gt;=$E8,W$4&lt;=$F8),"■","")</f>
        <v/>
      </c>
    </row>
    <row r="9" customFormat="false" ht="30" hidden="false" customHeight="true" outlineLevel="0" collapsed="false">
      <c r="A9" s="9" t="s">
        <v>39</v>
      </c>
      <c r="B9" s="10" t="s">
        <v>24</v>
      </c>
      <c r="C9" s="11" t="s">
        <v>25</v>
      </c>
      <c r="D9" s="9" t="s">
        <v>40</v>
      </c>
      <c r="E9" s="12" t="n">
        <v>46305</v>
      </c>
      <c r="F9" s="12" t="n">
        <v>46305</v>
      </c>
      <c r="G9" s="9" t="n">
        <f aca="false">F9-E9+1</f>
        <v>1</v>
      </c>
      <c r="H9" s="11" t="s">
        <v>41</v>
      </c>
      <c r="I9" s="9" t="s">
        <v>42</v>
      </c>
      <c r="J9" s="13" t="s">
        <v>29</v>
      </c>
      <c r="K9" s="14" t="s">
        <v>30</v>
      </c>
      <c r="L9" s="15" t="str">
        <f aca="false">IF(AND(L$4&gt;=$E9,L$4&lt;=$F9),"■","")</f>
        <v/>
      </c>
      <c r="M9" s="15" t="str">
        <f aca="false">IF(AND(M$4&gt;=$E9,M$4&lt;=$F9),"■","")</f>
        <v/>
      </c>
      <c r="N9" s="15" t="str">
        <f aca="false">IF(AND(N$4&gt;=$E9,N$4&lt;=$F9),"■","")</f>
        <v/>
      </c>
      <c r="O9" s="15" t="str">
        <f aca="false">IF(AND(O$4&gt;=$E9,O$4&lt;=$F9),"■","")</f>
        <v/>
      </c>
      <c r="P9" s="15" t="str">
        <f aca="false">IF(AND(P$4&gt;=$E9,P$4&lt;=$F9),"■","")</f>
        <v/>
      </c>
      <c r="Q9" s="15" t="str">
        <f aca="false">IF(AND(Q$4&gt;=$E9,Q$4&lt;=$F9),"■","")</f>
        <v>■</v>
      </c>
      <c r="R9" s="15" t="str">
        <f aca="false">IF(AND(R$4&gt;=$E9,R$4&lt;=$F9),"■","")</f>
        <v/>
      </c>
      <c r="S9" s="15" t="str">
        <f aca="false">IF(AND(S$4&gt;=$E9,S$4&lt;=$F9),"■","")</f>
        <v/>
      </c>
      <c r="T9" s="15" t="str">
        <f aca="false">IF(AND(T$4&gt;=$E9,T$4&lt;=$F9),"■","")</f>
        <v/>
      </c>
      <c r="U9" s="15" t="str">
        <f aca="false">IF(AND(U$4&gt;=$E9,U$4&lt;=$F9),"■","")</f>
        <v/>
      </c>
      <c r="V9" s="15" t="str">
        <f aca="false">IF(AND(V$4&gt;=$E9,V$4&lt;=$F9),"■","")</f>
        <v/>
      </c>
      <c r="W9" s="15" t="str">
        <f aca="false">IF(AND(W$4&gt;=$E9,W$4&lt;=$F9),"■","")</f>
        <v/>
      </c>
    </row>
    <row r="10" customFormat="false" ht="30" hidden="false" customHeight="true" outlineLevel="0" collapsed="false">
      <c r="A10" s="9" t="s">
        <v>43</v>
      </c>
      <c r="B10" s="10" t="s">
        <v>24</v>
      </c>
      <c r="C10" s="11" t="s">
        <v>25</v>
      </c>
      <c r="D10" s="11" t="s">
        <v>44</v>
      </c>
      <c r="E10" s="12" t="n">
        <v>46308</v>
      </c>
      <c r="F10" s="12" t="n">
        <v>46309</v>
      </c>
      <c r="G10" s="9" t="n">
        <f aca="false">F10-E10+1</f>
        <v>2</v>
      </c>
      <c r="H10" s="11" t="s">
        <v>45</v>
      </c>
      <c r="I10" s="9" t="s">
        <v>46</v>
      </c>
      <c r="J10" s="13" t="s">
        <v>29</v>
      </c>
      <c r="K10" s="14" t="s">
        <v>30</v>
      </c>
      <c r="L10" s="15" t="str">
        <f aca="false">IF(AND(L$4&gt;=$E10,L$4&lt;=$F10),"■","")</f>
        <v/>
      </c>
      <c r="M10" s="15" t="str">
        <f aca="false">IF(AND(M$4&gt;=$E10,M$4&lt;=$F10),"■","")</f>
        <v/>
      </c>
      <c r="N10" s="15" t="str">
        <f aca="false">IF(AND(N$4&gt;=$E10,N$4&lt;=$F10),"■","")</f>
        <v/>
      </c>
      <c r="O10" s="15" t="str">
        <f aca="false">IF(AND(O$4&gt;=$E10,O$4&lt;=$F10),"■","")</f>
        <v/>
      </c>
      <c r="P10" s="15" t="str">
        <f aca="false">IF(AND(P$4&gt;=$E10,P$4&lt;=$F10),"■","")</f>
        <v/>
      </c>
      <c r="Q10" s="15" t="str">
        <f aca="false">IF(AND(Q$4&gt;=$E10,Q$4&lt;=$F10),"■","")</f>
        <v/>
      </c>
      <c r="R10" s="15" t="str">
        <f aca="false">IF(AND(R$4&gt;=$E10,R$4&lt;=$F10),"■","")</f>
        <v/>
      </c>
      <c r="S10" s="15" t="str">
        <f aca="false">IF(AND(S$4&gt;=$E10,S$4&lt;=$F10),"■","")</f>
        <v/>
      </c>
      <c r="T10" s="15" t="str">
        <f aca="false">IF(AND(T$4&gt;=$E10,T$4&lt;=$F10),"■","")</f>
        <v>■</v>
      </c>
      <c r="U10" s="15" t="str">
        <f aca="false">IF(AND(U$4&gt;=$E10,U$4&lt;=$F10),"■","")</f>
        <v>■</v>
      </c>
      <c r="V10" s="15" t="str">
        <f aca="false">IF(AND(V$4&gt;=$E10,V$4&lt;=$F10),"■","")</f>
        <v/>
      </c>
      <c r="W10" s="15" t="str">
        <f aca="false">IF(AND(W$4&gt;=$E10,W$4&lt;=$F10),"■","")</f>
        <v/>
      </c>
    </row>
    <row r="11" customFormat="false" ht="30" hidden="false" customHeight="true" outlineLevel="0" collapsed="false">
      <c r="A11" s="9" t="s">
        <v>47</v>
      </c>
      <c r="B11" s="10" t="s">
        <v>24</v>
      </c>
      <c r="C11" s="11" t="s">
        <v>25</v>
      </c>
      <c r="D11" s="11" t="s">
        <v>48</v>
      </c>
      <c r="E11" s="12" t="n">
        <v>46310</v>
      </c>
      <c r="F11" s="12" t="n">
        <v>46310</v>
      </c>
      <c r="G11" s="9" t="n">
        <f aca="false">F11-E11+1</f>
        <v>1</v>
      </c>
      <c r="H11" s="9" t="s">
        <v>49</v>
      </c>
      <c r="I11" s="9" t="s">
        <v>50</v>
      </c>
      <c r="J11" s="13" t="s">
        <v>29</v>
      </c>
      <c r="K11" s="14" t="s">
        <v>30</v>
      </c>
      <c r="L11" s="15" t="str">
        <f aca="false">IF(AND(L$4&gt;=$E11,L$4&lt;=$F11),"■","")</f>
        <v/>
      </c>
      <c r="M11" s="15" t="str">
        <f aca="false">IF(AND(M$4&gt;=$E11,M$4&lt;=$F11),"■","")</f>
        <v/>
      </c>
      <c r="N11" s="15" t="str">
        <f aca="false">IF(AND(N$4&gt;=$E11,N$4&lt;=$F11),"■","")</f>
        <v/>
      </c>
      <c r="O11" s="15" t="str">
        <f aca="false">IF(AND(O$4&gt;=$E11,O$4&lt;=$F11),"■","")</f>
        <v/>
      </c>
      <c r="P11" s="15" t="str">
        <f aca="false">IF(AND(P$4&gt;=$E11,P$4&lt;=$F11),"■","")</f>
        <v/>
      </c>
      <c r="Q11" s="15" t="str">
        <f aca="false">IF(AND(Q$4&gt;=$E11,Q$4&lt;=$F11),"■","")</f>
        <v/>
      </c>
      <c r="R11" s="15" t="str">
        <f aca="false">IF(AND(R$4&gt;=$E11,R$4&lt;=$F11),"■","")</f>
        <v/>
      </c>
      <c r="S11" s="15" t="str">
        <f aca="false">IF(AND(S$4&gt;=$E11,S$4&lt;=$F11),"■","")</f>
        <v/>
      </c>
      <c r="T11" s="15" t="str">
        <f aca="false">IF(AND(T$4&gt;=$E11,T$4&lt;=$F11),"■","")</f>
        <v/>
      </c>
      <c r="U11" s="15" t="str">
        <f aca="false">IF(AND(U$4&gt;=$E11,U$4&lt;=$F11),"■","")</f>
        <v/>
      </c>
      <c r="V11" s="15" t="str">
        <f aca="false">IF(AND(V$4&gt;=$E11,V$4&lt;=$F11),"■","")</f>
        <v>■</v>
      </c>
      <c r="W11" s="15" t="str">
        <f aca="false">IF(AND(W$4&gt;=$E11,W$4&lt;=$F11),"■","")</f>
        <v/>
      </c>
    </row>
    <row r="12" customFormat="false" ht="30" hidden="false" customHeight="true" outlineLevel="0" collapsed="false">
      <c r="A12" s="9" t="s">
        <v>51</v>
      </c>
      <c r="B12" s="10" t="s">
        <v>24</v>
      </c>
      <c r="C12" s="11" t="s">
        <v>25</v>
      </c>
      <c r="D12" s="11" t="s">
        <v>52</v>
      </c>
      <c r="E12" s="12" t="n">
        <v>46311</v>
      </c>
      <c r="F12" s="12" t="n">
        <v>46311</v>
      </c>
      <c r="G12" s="9" t="n">
        <f aca="false">F12-E12+1</f>
        <v>1</v>
      </c>
      <c r="H12" s="11" t="s">
        <v>37</v>
      </c>
      <c r="I12" s="9" t="s">
        <v>53</v>
      </c>
      <c r="J12" s="13" t="s">
        <v>29</v>
      </c>
      <c r="K12" s="14" t="s">
        <v>30</v>
      </c>
      <c r="L12" s="15" t="str">
        <f aca="false">IF(AND(L$4&gt;=$E12,L$4&lt;=$F12),"■","")</f>
        <v/>
      </c>
      <c r="M12" s="15" t="str">
        <f aca="false">IF(AND(M$4&gt;=$E12,M$4&lt;=$F12),"■","")</f>
        <v/>
      </c>
      <c r="N12" s="15" t="str">
        <f aca="false">IF(AND(N$4&gt;=$E12,N$4&lt;=$F12),"■","")</f>
        <v/>
      </c>
      <c r="O12" s="15" t="str">
        <f aca="false">IF(AND(O$4&gt;=$E12,O$4&lt;=$F12),"■","")</f>
        <v/>
      </c>
      <c r="P12" s="15" t="str">
        <f aca="false">IF(AND(P$4&gt;=$E12,P$4&lt;=$F12),"■","")</f>
        <v/>
      </c>
      <c r="Q12" s="15" t="str">
        <f aca="false">IF(AND(Q$4&gt;=$E12,Q$4&lt;=$F12),"■","")</f>
        <v/>
      </c>
      <c r="R12" s="15" t="str">
        <f aca="false">IF(AND(R$4&gt;=$E12,R$4&lt;=$F12),"■","")</f>
        <v/>
      </c>
      <c r="S12" s="15" t="str">
        <f aca="false">IF(AND(S$4&gt;=$E12,S$4&lt;=$F12),"■","")</f>
        <v/>
      </c>
      <c r="T12" s="15" t="str">
        <f aca="false">IF(AND(T$4&gt;=$E12,T$4&lt;=$F12),"■","")</f>
        <v/>
      </c>
      <c r="U12" s="15" t="str">
        <f aca="false">IF(AND(U$4&gt;=$E12,U$4&lt;=$F12),"■","")</f>
        <v/>
      </c>
      <c r="V12" s="15" t="str">
        <f aca="false">IF(AND(V$4&gt;=$E12,V$4&lt;=$F12),"■","")</f>
        <v/>
      </c>
      <c r="W12" s="15" t="str">
        <f aca="false">IF(AND(W$4&gt;=$E12,W$4&lt;=$F12),"■","")</f>
        <v>■</v>
      </c>
    </row>
    <row r="13" customFormat="false" ht="30" hidden="false" customHeight="true" outlineLevel="0" collapsed="false">
      <c r="A13" s="9" t="s">
        <v>54</v>
      </c>
      <c r="B13" s="16" t="s">
        <v>55</v>
      </c>
      <c r="C13" s="11" t="s">
        <v>56</v>
      </c>
      <c r="D13" s="9" t="s">
        <v>57</v>
      </c>
      <c r="E13" s="12" t="n">
        <v>46301</v>
      </c>
      <c r="F13" s="12" t="n">
        <v>46302</v>
      </c>
      <c r="G13" s="9" t="n">
        <f aca="false">F13-E13+1</f>
        <v>2</v>
      </c>
      <c r="H13" s="11" t="s">
        <v>58</v>
      </c>
      <c r="I13" s="9" t="s">
        <v>59</v>
      </c>
      <c r="J13" s="13" t="s">
        <v>29</v>
      </c>
      <c r="K13" s="14" t="s">
        <v>30</v>
      </c>
      <c r="L13" s="17" t="str">
        <f aca="false">IF(AND(L$4&gt;=$E13,L$4&lt;=$F13),"■","")</f>
        <v/>
      </c>
      <c r="M13" s="17" t="str">
        <f aca="false">IF(AND(M$4&gt;=$E13,M$4&lt;=$F13),"■","")</f>
        <v>■</v>
      </c>
      <c r="N13" s="17" t="str">
        <f aca="false">IF(AND(N$4&gt;=$E13,N$4&lt;=$F13),"■","")</f>
        <v>■</v>
      </c>
      <c r="O13" s="17" t="str">
        <f aca="false">IF(AND(O$4&gt;=$E13,O$4&lt;=$F13),"■","")</f>
        <v/>
      </c>
      <c r="P13" s="17" t="str">
        <f aca="false">IF(AND(P$4&gt;=$E13,P$4&lt;=$F13),"■","")</f>
        <v/>
      </c>
      <c r="Q13" s="17" t="str">
        <f aca="false">IF(AND(Q$4&gt;=$E13,Q$4&lt;=$F13),"■","")</f>
        <v/>
      </c>
      <c r="R13" s="17" t="str">
        <f aca="false">IF(AND(R$4&gt;=$E13,R$4&lt;=$F13),"■","")</f>
        <v/>
      </c>
      <c r="S13" s="17" t="str">
        <f aca="false">IF(AND(S$4&gt;=$E13,S$4&lt;=$F13),"■","")</f>
        <v/>
      </c>
      <c r="T13" s="17" t="str">
        <f aca="false">IF(AND(T$4&gt;=$E13,T$4&lt;=$F13),"■","")</f>
        <v/>
      </c>
      <c r="U13" s="17" t="str">
        <f aca="false">IF(AND(U$4&gt;=$E13,U$4&lt;=$F13),"■","")</f>
        <v/>
      </c>
      <c r="V13" s="17" t="str">
        <f aca="false">IF(AND(V$4&gt;=$E13,V$4&lt;=$F13),"■","")</f>
        <v/>
      </c>
      <c r="W13" s="17" t="str">
        <f aca="false">IF(AND(W$4&gt;=$E13,W$4&lt;=$F13),"■","")</f>
        <v/>
      </c>
    </row>
    <row r="14" customFormat="false" ht="30" hidden="false" customHeight="true" outlineLevel="0" collapsed="false">
      <c r="A14" s="9" t="s">
        <v>60</v>
      </c>
      <c r="B14" s="16" t="s">
        <v>55</v>
      </c>
      <c r="C14" s="11" t="s">
        <v>56</v>
      </c>
      <c r="D14" s="9" t="s">
        <v>61</v>
      </c>
      <c r="E14" s="12" t="n">
        <v>46301</v>
      </c>
      <c r="F14" s="12" t="n">
        <v>46303</v>
      </c>
      <c r="G14" s="9" t="n">
        <f aca="false">F14-E14+1</f>
        <v>3</v>
      </c>
      <c r="H14" s="11" t="s">
        <v>62</v>
      </c>
      <c r="I14" s="9" t="s">
        <v>63</v>
      </c>
      <c r="J14" s="13" t="s">
        <v>29</v>
      </c>
      <c r="K14" s="14" t="s">
        <v>30</v>
      </c>
      <c r="L14" s="17" t="str">
        <f aca="false">IF(AND(L$4&gt;=$E14,L$4&lt;=$F14),"■","")</f>
        <v/>
      </c>
      <c r="M14" s="17" t="str">
        <f aca="false">IF(AND(M$4&gt;=$E14,M$4&lt;=$F14),"■","")</f>
        <v>■</v>
      </c>
      <c r="N14" s="17" t="str">
        <f aca="false">IF(AND(N$4&gt;=$E14,N$4&lt;=$F14),"■","")</f>
        <v>■</v>
      </c>
      <c r="O14" s="17" t="str">
        <f aca="false">IF(AND(O$4&gt;=$E14,O$4&lt;=$F14),"■","")</f>
        <v>■</v>
      </c>
      <c r="P14" s="17" t="str">
        <f aca="false">IF(AND(P$4&gt;=$E14,P$4&lt;=$F14),"■","")</f>
        <v/>
      </c>
      <c r="Q14" s="17" t="str">
        <f aca="false">IF(AND(Q$4&gt;=$E14,Q$4&lt;=$F14),"■","")</f>
        <v/>
      </c>
      <c r="R14" s="17" t="str">
        <f aca="false">IF(AND(R$4&gt;=$E14,R$4&lt;=$F14),"■","")</f>
        <v/>
      </c>
      <c r="S14" s="17" t="str">
        <f aca="false">IF(AND(S$4&gt;=$E14,S$4&lt;=$F14),"■","")</f>
        <v/>
      </c>
      <c r="T14" s="17" t="str">
        <f aca="false">IF(AND(T$4&gt;=$E14,T$4&lt;=$F14),"■","")</f>
        <v/>
      </c>
      <c r="U14" s="17" t="str">
        <f aca="false">IF(AND(U$4&gt;=$E14,U$4&lt;=$F14),"■","")</f>
        <v/>
      </c>
      <c r="V14" s="17" t="str">
        <f aca="false">IF(AND(V$4&gt;=$E14,V$4&lt;=$F14),"■","")</f>
        <v/>
      </c>
      <c r="W14" s="17" t="str">
        <f aca="false">IF(AND(W$4&gt;=$E14,W$4&lt;=$F14),"■","")</f>
        <v/>
      </c>
    </row>
    <row r="15" customFormat="false" ht="30" hidden="false" customHeight="true" outlineLevel="0" collapsed="false">
      <c r="A15" s="9" t="s">
        <v>64</v>
      </c>
      <c r="B15" s="16" t="s">
        <v>55</v>
      </c>
      <c r="C15" s="11" t="s">
        <v>56</v>
      </c>
      <c r="D15" s="9" t="s">
        <v>65</v>
      </c>
      <c r="E15" s="12" t="n">
        <v>46303</v>
      </c>
      <c r="F15" s="12" t="n">
        <v>46303</v>
      </c>
      <c r="G15" s="9" t="n">
        <f aca="false">F15-E15+1</f>
        <v>1</v>
      </c>
      <c r="H15" s="11" t="s">
        <v>66</v>
      </c>
      <c r="I15" s="9" t="s">
        <v>67</v>
      </c>
      <c r="J15" s="13" t="s">
        <v>29</v>
      </c>
      <c r="K15" s="14" t="s">
        <v>30</v>
      </c>
      <c r="L15" s="17" t="str">
        <f aca="false">IF(AND(L$4&gt;=$E15,L$4&lt;=$F15),"■","")</f>
        <v/>
      </c>
      <c r="M15" s="17" t="str">
        <f aca="false">IF(AND(M$4&gt;=$E15,M$4&lt;=$F15),"■","")</f>
        <v/>
      </c>
      <c r="N15" s="17" t="str">
        <f aca="false">IF(AND(N$4&gt;=$E15,N$4&lt;=$F15),"■","")</f>
        <v/>
      </c>
      <c r="O15" s="17" t="str">
        <f aca="false">IF(AND(O$4&gt;=$E15,O$4&lt;=$F15),"■","")</f>
        <v>■</v>
      </c>
      <c r="P15" s="17" t="str">
        <f aca="false">IF(AND(P$4&gt;=$E15,P$4&lt;=$F15),"■","")</f>
        <v/>
      </c>
      <c r="Q15" s="17" t="str">
        <f aca="false">IF(AND(Q$4&gt;=$E15,Q$4&lt;=$F15),"■","")</f>
        <v/>
      </c>
      <c r="R15" s="17" t="str">
        <f aca="false">IF(AND(R$4&gt;=$E15,R$4&lt;=$F15),"■","")</f>
        <v/>
      </c>
      <c r="S15" s="17" t="str">
        <f aca="false">IF(AND(S$4&gt;=$E15,S$4&lt;=$F15),"■","")</f>
        <v/>
      </c>
      <c r="T15" s="17" t="str">
        <f aca="false">IF(AND(T$4&gt;=$E15,T$4&lt;=$F15),"■","")</f>
        <v/>
      </c>
      <c r="U15" s="17" t="str">
        <f aca="false">IF(AND(U$4&gt;=$E15,U$4&lt;=$F15),"■","")</f>
        <v/>
      </c>
      <c r="V15" s="17" t="str">
        <f aca="false">IF(AND(V$4&gt;=$E15,V$4&lt;=$F15),"■","")</f>
        <v/>
      </c>
      <c r="W15" s="17" t="str">
        <f aca="false">IF(AND(W$4&gt;=$E15,W$4&lt;=$F15),"■","")</f>
        <v/>
      </c>
    </row>
    <row r="16" customFormat="false" ht="30" hidden="false" customHeight="true" outlineLevel="0" collapsed="false">
      <c r="A16" s="9" t="s">
        <v>68</v>
      </c>
      <c r="B16" s="16" t="s">
        <v>55</v>
      </c>
      <c r="C16" s="11" t="s">
        <v>56</v>
      </c>
      <c r="D16" s="9" t="s">
        <v>69</v>
      </c>
      <c r="E16" s="12" t="n">
        <v>46303</v>
      </c>
      <c r="F16" s="12" t="n">
        <v>46305</v>
      </c>
      <c r="G16" s="9" t="n">
        <f aca="false">F16-E16+1</f>
        <v>3</v>
      </c>
      <c r="H16" s="9" t="s">
        <v>70</v>
      </c>
      <c r="I16" s="9" t="s">
        <v>71</v>
      </c>
      <c r="J16" s="13" t="s">
        <v>29</v>
      </c>
      <c r="K16" s="14" t="s">
        <v>30</v>
      </c>
      <c r="L16" s="17" t="str">
        <f aca="false">IF(AND(L$4&gt;=$E16,L$4&lt;=$F16),"■","")</f>
        <v/>
      </c>
      <c r="M16" s="17" t="str">
        <f aca="false">IF(AND(M$4&gt;=$E16,M$4&lt;=$F16),"■","")</f>
        <v/>
      </c>
      <c r="N16" s="17" t="str">
        <f aca="false">IF(AND(N$4&gt;=$E16,N$4&lt;=$F16),"■","")</f>
        <v/>
      </c>
      <c r="O16" s="17" t="str">
        <f aca="false">IF(AND(O$4&gt;=$E16,O$4&lt;=$F16),"■","")</f>
        <v>■</v>
      </c>
      <c r="P16" s="17" t="str">
        <f aca="false">IF(AND(P$4&gt;=$E16,P$4&lt;=$F16),"■","")</f>
        <v>■</v>
      </c>
      <c r="Q16" s="17" t="str">
        <f aca="false">IF(AND(Q$4&gt;=$E16,Q$4&lt;=$F16),"■","")</f>
        <v>■</v>
      </c>
      <c r="R16" s="17" t="str">
        <f aca="false">IF(AND(R$4&gt;=$E16,R$4&lt;=$F16),"■","")</f>
        <v/>
      </c>
      <c r="S16" s="17" t="str">
        <f aca="false">IF(AND(S$4&gt;=$E16,S$4&lt;=$F16),"■","")</f>
        <v/>
      </c>
      <c r="T16" s="17" t="str">
        <f aca="false">IF(AND(T$4&gt;=$E16,T$4&lt;=$F16),"■","")</f>
        <v/>
      </c>
      <c r="U16" s="17" t="str">
        <f aca="false">IF(AND(U$4&gt;=$E16,U$4&lt;=$F16),"■","")</f>
        <v/>
      </c>
      <c r="V16" s="17" t="str">
        <f aca="false">IF(AND(V$4&gt;=$E16,V$4&lt;=$F16),"■","")</f>
        <v/>
      </c>
      <c r="W16" s="17" t="str">
        <f aca="false">IF(AND(W$4&gt;=$E16,W$4&lt;=$F16),"■","")</f>
        <v/>
      </c>
    </row>
    <row r="17" customFormat="false" ht="30" hidden="false" customHeight="true" outlineLevel="0" collapsed="false">
      <c r="A17" s="9" t="s">
        <v>72</v>
      </c>
      <c r="B17" s="16" t="s">
        <v>55</v>
      </c>
      <c r="C17" s="11" t="s">
        <v>56</v>
      </c>
      <c r="D17" s="9" t="s">
        <v>73</v>
      </c>
      <c r="E17" s="12" t="n">
        <v>46304</v>
      </c>
      <c r="F17" s="12" t="n">
        <v>46306</v>
      </c>
      <c r="G17" s="9" t="n">
        <f aca="false">F17-E17+1</f>
        <v>3</v>
      </c>
      <c r="H17" s="11" t="s">
        <v>74</v>
      </c>
      <c r="I17" s="9" t="s">
        <v>75</v>
      </c>
      <c r="J17" s="13" t="s">
        <v>29</v>
      </c>
      <c r="K17" s="14" t="s">
        <v>30</v>
      </c>
      <c r="L17" s="17" t="str">
        <f aca="false">IF(AND(L$4&gt;=$E17,L$4&lt;=$F17),"■","")</f>
        <v/>
      </c>
      <c r="M17" s="17" t="str">
        <f aca="false">IF(AND(M$4&gt;=$E17,M$4&lt;=$F17),"■","")</f>
        <v/>
      </c>
      <c r="N17" s="17" t="str">
        <f aca="false">IF(AND(N$4&gt;=$E17,N$4&lt;=$F17),"■","")</f>
        <v/>
      </c>
      <c r="O17" s="17" t="str">
        <f aca="false">IF(AND(O$4&gt;=$E17,O$4&lt;=$F17),"■","")</f>
        <v/>
      </c>
      <c r="P17" s="17" t="str">
        <f aca="false">IF(AND(P$4&gt;=$E17,P$4&lt;=$F17),"■","")</f>
        <v>■</v>
      </c>
      <c r="Q17" s="17" t="str">
        <f aca="false">IF(AND(Q$4&gt;=$E17,Q$4&lt;=$F17),"■","")</f>
        <v>■</v>
      </c>
      <c r="R17" s="17" t="str">
        <f aca="false">IF(AND(R$4&gt;=$E17,R$4&lt;=$F17),"■","")</f>
        <v>■</v>
      </c>
      <c r="S17" s="17" t="str">
        <f aca="false">IF(AND(S$4&gt;=$E17,S$4&lt;=$F17),"■","")</f>
        <v/>
      </c>
      <c r="T17" s="17" t="str">
        <f aca="false">IF(AND(T$4&gt;=$E17,T$4&lt;=$F17),"■","")</f>
        <v/>
      </c>
      <c r="U17" s="17" t="str">
        <f aca="false">IF(AND(U$4&gt;=$E17,U$4&lt;=$F17),"■","")</f>
        <v/>
      </c>
      <c r="V17" s="17" t="str">
        <f aca="false">IF(AND(V$4&gt;=$E17,V$4&lt;=$F17),"■","")</f>
        <v/>
      </c>
      <c r="W17" s="17" t="str">
        <f aca="false">IF(AND(W$4&gt;=$E17,W$4&lt;=$F17),"■","")</f>
        <v/>
      </c>
    </row>
    <row r="18" customFormat="false" ht="30" hidden="false" customHeight="true" outlineLevel="0" collapsed="false">
      <c r="A18" s="9" t="s">
        <v>76</v>
      </c>
      <c r="B18" s="16" t="s">
        <v>55</v>
      </c>
      <c r="C18" s="11" t="s">
        <v>56</v>
      </c>
      <c r="D18" s="11" t="s">
        <v>77</v>
      </c>
      <c r="E18" s="12" t="n">
        <v>46305</v>
      </c>
      <c r="F18" s="12" t="n">
        <v>46308</v>
      </c>
      <c r="G18" s="9" t="n">
        <f aca="false">F18-E18+1</f>
        <v>4</v>
      </c>
      <c r="H18" s="9" t="s">
        <v>78</v>
      </c>
      <c r="I18" s="9" t="s">
        <v>79</v>
      </c>
      <c r="J18" s="13" t="s">
        <v>29</v>
      </c>
      <c r="K18" s="14" t="s">
        <v>30</v>
      </c>
      <c r="L18" s="17" t="str">
        <f aca="false">IF(AND(L$4&gt;=$E18,L$4&lt;=$F18),"■","")</f>
        <v/>
      </c>
      <c r="M18" s="17" t="str">
        <f aca="false">IF(AND(M$4&gt;=$E18,M$4&lt;=$F18),"■","")</f>
        <v/>
      </c>
      <c r="N18" s="17" t="str">
        <f aca="false">IF(AND(N$4&gt;=$E18,N$4&lt;=$F18),"■","")</f>
        <v/>
      </c>
      <c r="O18" s="17" t="str">
        <f aca="false">IF(AND(O$4&gt;=$E18,O$4&lt;=$F18),"■","")</f>
        <v/>
      </c>
      <c r="P18" s="17" t="str">
        <f aca="false">IF(AND(P$4&gt;=$E18,P$4&lt;=$F18),"■","")</f>
        <v/>
      </c>
      <c r="Q18" s="17" t="str">
        <f aca="false">IF(AND(Q$4&gt;=$E18,Q$4&lt;=$F18),"■","")</f>
        <v>■</v>
      </c>
      <c r="R18" s="17" t="str">
        <f aca="false">IF(AND(R$4&gt;=$E18,R$4&lt;=$F18),"■","")</f>
        <v>■</v>
      </c>
      <c r="S18" s="17" t="str">
        <f aca="false">IF(AND(S$4&gt;=$E18,S$4&lt;=$F18),"■","")</f>
        <v>■</v>
      </c>
      <c r="T18" s="17" t="str">
        <f aca="false">IF(AND(T$4&gt;=$E18,T$4&lt;=$F18),"■","")</f>
        <v>■</v>
      </c>
      <c r="U18" s="17" t="str">
        <f aca="false">IF(AND(U$4&gt;=$E18,U$4&lt;=$F18),"■","")</f>
        <v/>
      </c>
      <c r="V18" s="17" t="str">
        <f aca="false">IF(AND(V$4&gt;=$E18,V$4&lt;=$F18),"■","")</f>
        <v/>
      </c>
      <c r="W18" s="17" t="str">
        <f aca="false">IF(AND(W$4&gt;=$E18,W$4&lt;=$F18),"■","")</f>
        <v/>
      </c>
    </row>
    <row r="19" customFormat="false" ht="30" hidden="false" customHeight="true" outlineLevel="0" collapsed="false">
      <c r="A19" s="9" t="s">
        <v>80</v>
      </c>
      <c r="B19" s="16" t="s">
        <v>55</v>
      </c>
      <c r="C19" s="11" t="s">
        <v>56</v>
      </c>
      <c r="D19" s="11" t="s">
        <v>81</v>
      </c>
      <c r="E19" s="12" t="n">
        <v>46306</v>
      </c>
      <c r="F19" s="12" t="n">
        <v>46308</v>
      </c>
      <c r="G19" s="9" t="n">
        <f aca="false">F19-E19+1</f>
        <v>3</v>
      </c>
      <c r="H19" s="11" t="s">
        <v>82</v>
      </c>
      <c r="I19" s="9" t="s">
        <v>83</v>
      </c>
      <c r="J19" s="13" t="s">
        <v>29</v>
      </c>
      <c r="K19" s="14" t="s">
        <v>30</v>
      </c>
      <c r="L19" s="17" t="str">
        <f aca="false">IF(AND(L$4&gt;=$E19,L$4&lt;=$F19),"■","")</f>
        <v/>
      </c>
      <c r="M19" s="17" t="str">
        <f aca="false">IF(AND(M$4&gt;=$E19,M$4&lt;=$F19),"■","")</f>
        <v/>
      </c>
      <c r="N19" s="17" t="str">
        <f aca="false">IF(AND(N$4&gt;=$E19,N$4&lt;=$F19),"■","")</f>
        <v/>
      </c>
      <c r="O19" s="17" t="str">
        <f aca="false">IF(AND(O$4&gt;=$E19,O$4&lt;=$F19),"■","")</f>
        <v/>
      </c>
      <c r="P19" s="17" t="str">
        <f aca="false">IF(AND(P$4&gt;=$E19,P$4&lt;=$F19),"■","")</f>
        <v/>
      </c>
      <c r="Q19" s="17" t="str">
        <f aca="false">IF(AND(Q$4&gt;=$E19,Q$4&lt;=$F19),"■","")</f>
        <v/>
      </c>
      <c r="R19" s="17" t="str">
        <f aca="false">IF(AND(R$4&gt;=$E19,R$4&lt;=$F19),"■","")</f>
        <v>■</v>
      </c>
      <c r="S19" s="17" t="str">
        <f aca="false">IF(AND(S$4&gt;=$E19,S$4&lt;=$F19),"■","")</f>
        <v>■</v>
      </c>
      <c r="T19" s="17" t="str">
        <f aca="false">IF(AND(T$4&gt;=$E19,T$4&lt;=$F19),"■","")</f>
        <v>■</v>
      </c>
      <c r="U19" s="17" t="str">
        <f aca="false">IF(AND(U$4&gt;=$E19,U$4&lt;=$F19),"■","")</f>
        <v/>
      </c>
      <c r="V19" s="17" t="str">
        <f aca="false">IF(AND(V$4&gt;=$E19,V$4&lt;=$F19),"■","")</f>
        <v/>
      </c>
      <c r="W19" s="17" t="str">
        <f aca="false">IF(AND(W$4&gt;=$E19,W$4&lt;=$F19),"■","")</f>
        <v/>
      </c>
    </row>
    <row r="20" customFormat="false" ht="30" hidden="false" customHeight="true" outlineLevel="0" collapsed="false">
      <c r="A20" s="9" t="s">
        <v>84</v>
      </c>
      <c r="B20" s="16" t="s">
        <v>55</v>
      </c>
      <c r="C20" s="11" t="s">
        <v>56</v>
      </c>
      <c r="D20" s="11" t="s">
        <v>85</v>
      </c>
      <c r="E20" s="12" t="n">
        <v>46309</v>
      </c>
      <c r="F20" s="12" t="n">
        <v>46310</v>
      </c>
      <c r="G20" s="9" t="n">
        <f aca="false">F20-E20+1</f>
        <v>2</v>
      </c>
      <c r="H20" s="11" t="s">
        <v>86</v>
      </c>
      <c r="I20" s="9" t="s">
        <v>87</v>
      </c>
      <c r="J20" s="13" t="s">
        <v>29</v>
      </c>
      <c r="K20" s="14" t="s">
        <v>30</v>
      </c>
      <c r="L20" s="17" t="str">
        <f aca="false">IF(AND(L$4&gt;=$E20,L$4&lt;=$F20),"■","")</f>
        <v/>
      </c>
      <c r="M20" s="17" t="str">
        <f aca="false">IF(AND(M$4&gt;=$E20,M$4&lt;=$F20),"■","")</f>
        <v/>
      </c>
      <c r="N20" s="17" t="str">
        <f aca="false">IF(AND(N$4&gt;=$E20,N$4&lt;=$F20),"■","")</f>
        <v/>
      </c>
      <c r="O20" s="17" t="str">
        <f aca="false">IF(AND(O$4&gt;=$E20,O$4&lt;=$F20),"■","")</f>
        <v/>
      </c>
      <c r="P20" s="17" t="str">
        <f aca="false">IF(AND(P$4&gt;=$E20,P$4&lt;=$F20),"■","")</f>
        <v/>
      </c>
      <c r="Q20" s="17" t="str">
        <f aca="false">IF(AND(Q$4&gt;=$E20,Q$4&lt;=$F20),"■","")</f>
        <v/>
      </c>
      <c r="R20" s="17" t="str">
        <f aca="false">IF(AND(R$4&gt;=$E20,R$4&lt;=$F20),"■","")</f>
        <v/>
      </c>
      <c r="S20" s="17" t="str">
        <f aca="false">IF(AND(S$4&gt;=$E20,S$4&lt;=$F20),"■","")</f>
        <v/>
      </c>
      <c r="T20" s="17" t="str">
        <f aca="false">IF(AND(T$4&gt;=$E20,T$4&lt;=$F20),"■","")</f>
        <v/>
      </c>
      <c r="U20" s="17" t="str">
        <f aca="false">IF(AND(U$4&gt;=$E20,U$4&lt;=$F20),"■","")</f>
        <v>■</v>
      </c>
      <c r="V20" s="17" t="str">
        <f aca="false">IF(AND(V$4&gt;=$E20,V$4&lt;=$F20),"■","")</f>
        <v>■</v>
      </c>
      <c r="W20" s="17" t="str">
        <f aca="false">IF(AND(W$4&gt;=$E20,W$4&lt;=$F20),"■","")</f>
        <v/>
      </c>
    </row>
    <row r="21" customFormat="false" ht="30" hidden="false" customHeight="true" outlineLevel="0" collapsed="false">
      <c r="A21" s="9" t="s">
        <v>88</v>
      </c>
      <c r="B21" s="18" t="s">
        <v>89</v>
      </c>
      <c r="C21" s="11" t="s">
        <v>90</v>
      </c>
      <c r="D21" s="11" t="s">
        <v>91</v>
      </c>
      <c r="E21" s="12" t="n">
        <v>46301</v>
      </c>
      <c r="F21" s="12" t="n">
        <v>46301</v>
      </c>
      <c r="G21" s="9" t="n">
        <f aca="false">F21-E21+1</f>
        <v>1</v>
      </c>
      <c r="H21" s="11" t="s">
        <v>92</v>
      </c>
      <c r="I21" s="9" t="s">
        <v>93</v>
      </c>
      <c r="J21" s="13" t="s">
        <v>29</v>
      </c>
      <c r="K21" s="14" t="s">
        <v>30</v>
      </c>
      <c r="L21" s="19" t="str">
        <f aca="false">IF(AND(L$4&gt;=$E21,L$4&lt;=$F21),"■","")</f>
        <v/>
      </c>
      <c r="M21" s="19" t="str">
        <f aca="false">IF(AND(M$4&gt;=$E21,M$4&lt;=$F21),"■","")</f>
        <v>■</v>
      </c>
      <c r="N21" s="19" t="str">
        <f aca="false">IF(AND(N$4&gt;=$E21,N$4&lt;=$F21),"■","")</f>
        <v/>
      </c>
      <c r="O21" s="19" t="str">
        <f aca="false">IF(AND(O$4&gt;=$E21,O$4&lt;=$F21),"■","")</f>
        <v/>
      </c>
      <c r="P21" s="19" t="str">
        <f aca="false">IF(AND(P$4&gt;=$E21,P$4&lt;=$F21),"■","")</f>
        <v/>
      </c>
      <c r="Q21" s="19" t="str">
        <f aca="false">IF(AND(Q$4&gt;=$E21,Q$4&lt;=$F21),"■","")</f>
        <v/>
      </c>
      <c r="R21" s="19" t="str">
        <f aca="false">IF(AND(R$4&gt;=$E21,R$4&lt;=$F21),"■","")</f>
        <v/>
      </c>
      <c r="S21" s="19" t="str">
        <f aca="false">IF(AND(S$4&gt;=$E21,S$4&lt;=$F21),"■","")</f>
        <v/>
      </c>
      <c r="T21" s="19" t="str">
        <f aca="false">IF(AND(T$4&gt;=$E21,T$4&lt;=$F21),"■","")</f>
        <v/>
      </c>
      <c r="U21" s="19" t="str">
        <f aca="false">IF(AND(U$4&gt;=$E21,U$4&lt;=$F21),"■","")</f>
        <v/>
      </c>
      <c r="V21" s="19" t="str">
        <f aca="false">IF(AND(V$4&gt;=$E21,V$4&lt;=$F21),"■","")</f>
        <v/>
      </c>
      <c r="W21" s="19" t="str">
        <f aca="false">IF(AND(W$4&gt;=$E21,W$4&lt;=$F21),"■","")</f>
        <v/>
      </c>
    </row>
    <row r="22" customFormat="false" ht="30" hidden="false" customHeight="true" outlineLevel="0" collapsed="false">
      <c r="A22" s="9" t="s">
        <v>94</v>
      </c>
      <c r="B22" s="18" t="s">
        <v>89</v>
      </c>
      <c r="C22" s="11" t="s">
        <v>90</v>
      </c>
      <c r="D22" s="11" t="s">
        <v>95</v>
      </c>
      <c r="E22" s="12" t="n">
        <v>46301</v>
      </c>
      <c r="F22" s="12" t="n">
        <v>46303</v>
      </c>
      <c r="G22" s="9" t="n">
        <f aca="false">F22-E22+1</f>
        <v>3</v>
      </c>
      <c r="H22" s="11" t="s">
        <v>96</v>
      </c>
      <c r="I22" s="9" t="s">
        <v>97</v>
      </c>
      <c r="J22" s="13" t="s">
        <v>29</v>
      </c>
      <c r="K22" s="14" t="s">
        <v>30</v>
      </c>
      <c r="L22" s="19" t="str">
        <f aca="false">IF(AND(L$4&gt;=$E22,L$4&lt;=$F22),"■","")</f>
        <v/>
      </c>
      <c r="M22" s="19" t="str">
        <f aca="false">IF(AND(M$4&gt;=$E22,M$4&lt;=$F22),"■","")</f>
        <v>■</v>
      </c>
      <c r="N22" s="19" t="str">
        <f aca="false">IF(AND(N$4&gt;=$E22,N$4&lt;=$F22),"■","")</f>
        <v>■</v>
      </c>
      <c r="O22" s="19" t="str">
        <f aca="false">IF(AND(O$4&gt;=$E22,O$4&lt;=$F22),"■","")</f>
        <v>■</v>
      </c>
      <c r="P22" s="19" t="str">
        <f aca="false">IF(AND(P$4&gt;=$E22,P$4&lt;=$F22),"■","")</f>
        <v/>
      </c>
      <c r="Q22" s="19" t="str">
        <f aca="false">IF(AND(Q$4&gt;=$E22,Q$4&lt;=$F22),"■","")</f>
        <v/>
      </c>
      <c r="R22" s="19" t="str">
        <f aca="false">IF(AND(R$4&gt;=$E22,R$4&lt;=$F22),"■","")</f>
        <v/>
      </c>
      <c r="S22" s="19" t="str">
        <f aca="false">IF(AND(S$4&gt;=$E22,S$4&lt;=$F22),"■","")</f>
        <v/>
      </c>
      <c r="T22" s="19" t="str">
        <f aca="false">IF(AND(T$4&gt;=$E22,T$4&lt;=$F22),"■","")</f>
        <v/>
      </c>
      <c r="U22" s="19" t="str">
        <f aca="false">IF(AND(U$4&gt;=$E22,U$4&lt;=$F22),"■","")</f>
        <v/>
      </c>
      <c r="V22" s="19" t="str">
        <f aca="false">IF(AND(V$4&gt;=$E22,V$4&lt;=$F22),"■","")</f>
        <v/>
      </c>
      <c r="W22" s="19" t="str">
        <f aca="false">IF(AND(W$4&gt;=$E22,W$4&lt;=$F22),"■","")</f>
        <v/>
      </c>
    </row>
    <row r="23" customFormat="false" ht="30" hidden="false" customHeight="true" outlineLevel="0" collapsed="false">
      <c r="A23" s="9" t="s">
        <v>98</v>
      </c>
      <c r="B23" s="18" t="s">
        <v>89</v>
      </c>
      <c r="C23" s="11" t="s">
        <v>90</v>
      </c>
      <c r="D23" s="11" t="s">
        <v>99</v>
      </c>
      <c r="E23" s="12" t="n">
        <v>46301</v>
      </c>
      <c r="F23" s="12" t="n">
        <v>46302</v>
      </c>
      <c r="G23" s="9" t="n">
        <f aca="false">F23-E23+1</f>
        <v>2</v>
      </c>
      <c r="H23" s="11" t="s">
        <v>100</v>
      </c>
      <c r="I23" s="9" t="s">
        <v>101</v>
      </c>
      <c r="J23" s="13" t="s">
        <v>29</v>
      </c>
      <c r="K23" s="14" t="s">
        <v>30</v>
      </c>
      <c r="L23" s="19" t="str">
        <f aca="false">IF(AND(L$4&gt;=$E23,L$4&lt;=$F23),"■","")</f>
        <v/>
      </c>
      <c r="M23" s="19" t="str">
        <f aca="false">IF(AND(M$4&gt;=$E23,M$4&lt;=$F23),"■","")</f>
        <v>■</v>
      </c>
      <c r="N23" s="19" t="str">
        <f aca="false">IF(AND(N$4&gt;=$E23,N$4&lt;=$F23),"■","")</f>
        <v>■</v>
      </c>
      <c r="O23" s="19" t="str">
        <f aca="false">IF(AND(O$4&gt;=$E23,O$4&lt;=$F23),"■","")</f>
        <v/>
      </c>
      <c r="P23" s="19" t="str">
        <f aca="false">IF(AND(P$4&gt;=$E23,P$4&lt;=$F23),"■","")</f>
        <v/>
      </c>
      <c r="Q23" s="19" t="str">
        <f aca="false">IF(AND(Q$4&gt;=$E23,Q$4&lt;=$F23),"■","")</f>
        <v/>
      </c>
      <c r="R23" s="19" t="str">
        <f aca="false">IF(AND(R$4&gt;=$E23,R$4&lt;=$F23),"■","")</f>
        <v/>
      </c>
      <c r="S23" s="19" t="str">
        <f aca="false">IF(AND(S$4&gt;=$E23,S$4&lt;=$F23),"■","")</f>
        <v/>
      </c>
      <c r="T23" s="19" t="str">
        <f aca="false">IF(AND(T$4&gt;=$E23,T$4&lt;=$F23),"■","")</f>
        <v/>
      </c>
      <c r="U23" s="19" t="str">
        <f aca="false">IF(AND(U$4&gt;=$E23,U$4&lt;=$F23),"■","")</f>
        <v/>
      </c>
      <c r="V23" s="19" t="str">
        <f aca="false">IF(AND(V$4&gt;=$E23,V$4&lt;=$F23),"■","")</f>
        <v/>
      </c>
      <c r="W23" s="19" t="str">
        <f aca="false">IF(AND(W$4&gt;=$E23,W$4&lt;=$F23),"■","")</f>
        <v/>
      </c>
    </row>
    <row r="24" customFormat="false" ht="30" hidden="false" customHeight="true" outlineLevel="0" collapsed="false">
      <c r="A24" s="9" t="s">
        <v>102</v>
      </c>
      <c r="B24" s="18" t="s">
        <v>89</v>
      </c>
      <c r="C24" s="11" t="s">
        <v>90</v>
      </c>
      <c r="D24" s="9" t="s">
        <v>103</v>
      </c>
      <c r="E24" s="12" t="n">
        <v>46303</v>
      </c>
      <c r="F24" s="12" t="n">
        <v>46305</v>
      </c>
      <c r="G24" s="9" t="n">
        <f aca="false">F24-E24+1</f>
        <v>3</v>
      </c>
      <c r="H24" s="11" t="s">
        <v>104</v>
      </c>
      <c r="I24" s="9" t="s">
        <v>105</v>
      </c>
      <c r="J24" s="13" t="s">
        <v>29</v>
      </c>
      <c r="K24" s="14" t="s">
        <v>30</v>
      </c>
      <c r="L24" s="19" t="str">
        <f aca="false">IF(AND(L$4&gt;=$E24,L$4&lt;=$F24),"■","")</f>
        <v/>
      </c>
      <c r="M24" s="19" t="str">
        <f aca="false">IF(AND(M$4&gt;=$E24,M$4&lt;=$F24),"■","")</f>
        <v/>
      </c>
      <c r="N24" s="19" t="str">
        <f aca="false">IF(AND(N$4&gt;=$E24,N$4&lt;=$F24),"■","")</f>
        <v/>
      </c>
      <c r="O24" s="19" t="str">
        <f aca="false">IF(AND(O$4&gt;=$E24,O$4&lt;=$F24),"■","")</f>
        <v>■</v>
      </c>
      <c r="P24" s="19" t="str">
        <f aca="false">IF(AND(P$4&gt;=$E24,P$4&lt;=$F24),"■","")</f>
        <v>■</v>
      </c>
      <c r="Q24" s="19" t="str">
        <f aca="false">IF(AND(Q$4&gt;=$E24,Q$4&lt;=$F24),"■","")</f>
        <v>■</v>
      </c>
      <c r="R24" s="19" t="str">
        <f aca="false">IF(AND(R$4&gt;=$E24,R$4&lt;=$F24),"■","")</f>
        <v/>
      </c>
      <c r="S24" s="19" t="str">
        <f aca="false">IF(AND(S$4&gt;=$E24,S$4&lt;=$F24),"■","")</f>
        <v/>
      </c>
      <c r="T24" s="19" t="str">
        <f aca="false">IF(AND(T$4&gt;=$E24,T$4&lt;=$F24),"■","")</f>
        <v/>
      </c>
      <c r="U24" s="19" t="str">
        <f aca="false">IF(AND(U$4&gt;=$E24,U$4&lt;=$F24),"■","")</f>
        <v/>
      </c>
      <c r="V24" s="19" t="str">
        <f aca="false">IF(AND(V$4&gt;=$E24,V$4&lt;=$F24),"■","")</f>
        <v/>
      </c>
      <c r="W24" s="19" t="str">
        <f aca="false">IF(AND(W$4&gt;=$E24,W$4&lt;=$F24),"■","")</f>
        <v/>
      </c>
    </row>
    <row r="25" customFormat="false" ht="30" hidden="false" customHeight="true" outlineLevel="0" collapsed="false">
      <c r="A25" s="9" t="s">
        <v>106</v>
      </c>
      <c r="B25" s="18" t="s">
        <v>89</v>
      </c>
      <c r="C25" s="11" t="s">
        <v>90</v>
      </c>
      <c r="D25" s="9" t="s">
        <v>107</v>
      </c>
      <c r="E25" s="12" t="n">
        <v>46303</v>
      </c>
      <c r="F25" s="12" t="n">
        <v>46305</v>
      </c>
      <c r="G25" s="9" t="n">
        <f aca="false">F25-E25+1</f>
        <v>3</v>
      </c>
      <c r="H25" s="9" t="s">
        <v>108</v>
      </c>
      <c r="I25" s="9" t="s">
        <v>109</v>
      </c>
      <c r="J25" s="13" t="s">
        <v>29</v>
      </c>
      <c r="K25" s="14" t="s">
        <v>30</v>
      </c>
      <c r="L25" s="19" t="str">
        <f aca="false">IF(AND(L$4&gt;=$E25,L$4&lt;=$F25),"■","")</f>
        <v/>
      </c>
      <c r="M25" s="19" t="str">
        <f aca="false">IF(AND(M$4&gt;=$E25,M$4&lt;=$F25),"■","")</f>
        <v/>
      </c>
      <c r="N25" s="19" t="str">
        <f aca="false">IF(AND(N$4&gt;=$E25,N$4&lt;=$F25),"■","")</f>
        <v/>
      </c>
      <c r="O25" s="19" t="str">
        <f aca="false">IF(AND(O$4&gt;=$E25,O$4&lt;=$F25),"■","")</f>
        <v>■</v>
      </c>
      <c r="P25" s="19" t="str">
        <f aca="false">IF(AND(P$4&gt;=$E25,P$4&lt;=$F25),"■","")</f>
        <v>■</v>
      </c>
      <c r="Q25" s="19" t="str">
        <f aca="false">IF(AND(Q$4&gt;=$E25,Q$4&lt;=$F25),"■","")</f>
        <v>■</v>
      </c>
      <c r="R25" s="19" t="str">
        <f aca="false">IF(AND(R$4&gt;=$E25,R$4&lt;=$F25),"■","")</f>
        <v/>
      </c>
      <c r="S25" s="19" t="str">
        <f aca="false">IF(AND(S$4&gt;=$E25,S$4&lt;=$F25),"■","")</f>
        <v/>
      </c>
      <c r="T25" s="19" t="str">
        <f aca="false">IF(AND(T$4&gt;=$E25,T$4&lt;=$F25),"■","")</f>
        <v/>
      </c>
      <c r="U25" s="19" t="str">
        <f aca="false">IF(AND(U$4&gt;=$E25,U$4&lt;=$F25),"■","")</f>
        <v/>
      </c>
      <c r="V25" s="19" t="str">
        <f aca="false">IF(AND(V$4&gt;=$E25,V$4&lt;=$F25),"■","")</f>
        <v/>
      </c>
      <c r="W25" s="19" t="str">
        <f aca="false">IF(AND(W$4&gt;=$E25,W$4&lt;=$F25),"■","")</f>
        <v/>
      </c>
    </row>
    <row r="26" customFormat="false" ht="30" hidden="false" customHeight="true" outlineLevel="0" collapsed="false">
      <c r="A26" s="9" t="s">
        <v>110</v>
      </c>
      <c r="B26" s="18" t="s">
        <v>89</v>
      </c>
      <c r="C26" s="11" t="s">
        <v>90</v>
      </c>
      <c r="D26" s="11" t="s">
        <v>111</v>
      </c>
      <c r="E26" s="12" t="n">
        <v>46303</v>
      </c>
      <c r="F26" s="12" t="n">
        <v>46305</v>
      </c>
      <c r="G26" s="9" t="n">
        <f aca="false">F26-E26+1</f>
        <v>3</v>
      </c>
      <c r="H26" s="11" t="s">
        <v>112</v>
      </c>
      <c r="I26" s="9" t="s">
        <v>113</v>
      </c>
      <c r="J26" s="13" t="s">
        <v>29</v>
      </c>
      <c r="K26" s="14" t="s">
        <v>30</v>
      </c>
      <c r="L26" s="19" t="str">
        <f aca="false">IF(AND(L$4&gt;=$E26,L$4&lt;=$F26),"■","")</f>
        <v/>
      </c>
      <c r="M26" s="19" t="str">
        <f aca="false">IF(AND(M$4&gt;=$E26,M$4&lt;=$F26),"■","")</f>
        <v/>
      </c>
      <c r="N26" s="19" t="str">
        <f aca="false">IF(AND(N$4&gt;=$E26,N$4&lt;=$F26),"■","")</f>
        <v/>
      </c>
      <c r="O26" s="19" t="str">
        <f aca="false">IF(AND(O$4&gt;=$E26,O$4&lt;=$F26),"■","")</f>
        <v>■</v>
      </c>
      <c r="P26" s="19" t="str">
        <f aca="false">IF(AND(P$4&gt;=$E26,P$4&lt;=$F26),"■","")</f>
        <v>■</v>
      </c>
      <c r="Q26" s="19" t="str">
        <f aca="false">IF(AND(Q$4&gt;=$E26,Q$4&lt;=$F26),"■","")</f>
        <v>■</v>
      </c>
      <c r="R26" s="19" t="str">
        <f aca="false">IF(AND(R$4&gt;=$E26,R$4&lt;=$F26),"■","")</f>
        <v/>
      </c>
      <c r="S26" s="19" t="str">
        <f aca="false">IF(AND(S$4&gt;=$E26,S$4&lt;=$F26),"■","")</f>
        <v/>
      </c>
      <c r="T26" s="19" t="str">
        <f aca="false">IF(AND(T$4&gt;=$E26,T$4&lt;=$F26),"■","")</f>
        <v/>
      </c>
      <c r="U26" s="19" t="str">
        <f aca="false">IF(AND(U$4&gt;=$E26,U$4&lt;=$F26),"■","")</f>
        <v/>
      </c>
      <c r="V26" s="19" t="str">
        <f aca="false">IF(AND(V$4&gt;=$E26,V$4&lt;=$F26),"■","")</f>
        <v/>
      </c>
      <c r="W26" s="19" t="str">
        <f aca="false">IF(AND(W$4&gt;=$E26,W$4&lt;=$F26),"■","")</f>
        <v/>
      </c>
    </row>
    <row r="27" customFormat="false" ht="30" hidden="false" customHeight="true" outlineLevel="0" collapsed="false">
      <c r="A27" s="9" t="s">
        <v>114</v>
      </c>
      <c r="B27" s="18" t="s">
        <v>89</v>
      </c>
      <c r="C27" s="11" t="s">
        <v>90</v>
      </c>
      <c r="D27" s="11" t="s">
        <v>115</v>
      </c>
      <c r="E27" s="12" t="n">
        <v>46306</v>
      </c>
      <c r="F27" s="12" t="n">
        <v>46306</v>
      </c>
      <c r="G27" s="9" t="n">
        <f aca="false">F27-E27+1</f>
        <v>1</v>
      </c>
      <c r="H27" s="11" t="s">
        <v>116</v>
      </c>
      <c r="I27" s="9" t="s">
        <v>117</v>
      </c>
      <c r="J27" s="13" t="s">
        <v>29</v>
      </c>
      <c r="K27" s="14" t="s">
        <v>30</v>
      </c>
      <c r="L27" s="19" t="str">
        <f aca="false">IF(AND(L$4&gt;=$E27,L$4&lt;=$F27),"■","")</f>
        <v/>
      </c>
      <c r="M27" s="19" t="str">
        <f aca="false">IF(AND(M$4&gt;=$E27,M$4&lt;=$F27),"■","")</f>
        <v/>
      </c>
      <c r="N27" s="19" t="str">
        <f aca="false">IF(AND(N$4&gt;=$E27,N$4&lt;=$F27),"■","")</f>
        <v/>
      </c>
      <c r="O27" s="19" t="str">
        <f aca="false">IF(AND(O$4&gt;=$E27,O$4&lt;=$F27),"■","")</f>
        <v/>
      </c>
      <c r="P27" s="19" t="str">
        <f aca="false">IF(AND(P$4&gt;=$E27,P$4&lt;=$F27),"■","")</f>
        <v/>
      </c>
      <c r="Q27" s="19" t="str">
        <f aca="false">IF(AND(Q$4&gt;=$E27,Q$4&lt;=$F27),"■","")</f>
        <v/>
      </c>
      <c r="R27" s="19" t="str">
        <f aca="false">IF(AND(R$4&gt;=$E27,R$4&lt;=$F27),"■","")</f>
        <v>■</v>
      </c>
      <c r="S27" s="19" t="str">
        <f aca="false">IF(AND(S$4&gt;=$E27,S$4&lt;=$F27),"■","")</f>
        <v/>
      </c>
      <c r="T27" s="19" t="str">
        <f aca="false">IF(AND(T$4&gt;=$E27,T$4&lt;=$F27),"■","")</f>
        <v/>
      </c>
      <c r="U27" s="19" t="str">
        <f aca="false">IF(AND(U$4&gt;=$E27,U$4&lt;=$F27),"■","")</f>
        <v/>
      </c>
      <c r="V27" s="19" t="str">
        <f aca="false">IF(AND(V$4&gt;=$E27,V$4&lt;=$F27),"■","")</f>
        <v/>
      </c>
      <c r="W27" s="19" t="str">
        <f aca="false">IF(AND(W$4&gt;=$E27,W$4&lt;=$F27),"■","")</f>
        <v/>
      </c>
    </row>
    <row r="28" customFormat="false" ht="30" hidden="false" customHeight="true" outlineLevel="0" collapsed="false">
      <c r="A28" s="9" t="s">
        <v>118</v>
      </c>
      <c r="B28" s="18" t="s">
        <v>89</v>
      </c>
      <c r="C28" s="11" t="s">
        <v>119</v>
      </c>
      <c r="D28" s="11" t="s">
        <v>120</v>
      </c>
      <c r="E28" s="12" t="n">
        <v>46307</v>
      </c>
      <c r="F28" s="12" t="n">
        <v>46309</v>
      </c>
      <c r="G28" s="9" t="n">
        <f aca="false">F28-E28+1</f>
        <v>3</v>
      </c>
      <c r="H28" s="11" t="s">
        <v>121</v>
      </c>
      <c r="I28" s="9" t="s">
        <v>122</v>
      </c>
      <c r="J28" s="13" t="s">
        <v>29</v>
      </c>
      <c r="K28" s="14" t="s">
        <v>30</v>
      </c>
      <c r="L28" s="19" t="str">
        <f aca="false">IF(AND(L$4&gt;=$E28,L$4&lt;=$F28),"■","")</f>
        <v/>
      </c>
      <c r="M28" s="19" t="str">
        <f aca="false">IF(AND(M$4&gt;=$E28,M$4&lt;=$F28),"■","")</f>
        <v/>
      </c>
      <c r="N28" s="19" t="str">
        <f aca="false">IF(AND(N$4&gt;=$E28,N$4&lt;=$F28),"■","")</f>
        <v/>
      </c>
      <c r="O28" s="19" t="str">
        <f aca="false">IF(AND(O$4&gt;=$E28,O$4&lt;=$F28),"■","")</f>
        <v/>
      </c>
      <c r="P28" s="19" t="str">
        <f aca="false">IF(AND(P$4&gt;=$E28,P$4&lt;=$F28),"■","")</f>
        <v/>
      </c>
      <c r="Q28" s="19" t="str">
        <f aca="false">IF(AND(Q$4&gt;=$E28,Q$4&lt;=$F28),"■","")</f>
        <v/>
      </c>
      <c r="R28" s="19" t="str">
        <f aca="false">IF(AND(R$4&gt;=$E28,R$4&lt;=$F28),"■","")</f>
        <v/>
      </c>
      <c r="S28" s="19" t="str">
        <f aca="false">IF(AND(S$4&gt;=$E28,S$4&lt;=$F28),"■","")</f>
        <v>■</v>
      </c>
      <c r="T28" s="19" t="str">
        <f aca="false">IF(AND(T$4&gt;=$E28,T$4&lt;=$F28),"■","")</f>
        <v>■</v>
      </c>
      <c r="U28" s="19" t="str">
        <f aca="false">IF(AND(U$4&gt;=$E28,U$4&lt;=$F28),"■","")</f>
        <v>■</v>
      </c>
      <c r="V28" s="19" t="str">
        <f aca="false">IF(AND(V$4&gt;=$E28,V$4&lt;=$F28),"■","")</f>
        <v/>
      </c>
      <c r="W28" s="19" t="str">
        <f aca="false">IF(AND(W$4&gt;=$E28,W$4&lt;=$F28),"■","")</f>
        <v/>
      </c>
    </row>
    <row r="29" customFormat="false" ht="30" hidden="false" customHeight="true" outlineLevel="0" collapsed="false">
      <c r="A29" s="9" t="s">
        <v>123</v>
      </c>
      <c r="B29" s="18" t="s">
        <v>89</v>
      </c>
      <c r="C29" s="11" t="s">
        <v>124</v>
      </c>
      <c r="D29" s="11" t="s">
        <v>125</v>
      </c>
      <c r="E29" s="12" t="n">
        <v>46309</v>
      </c>
      <c r="F29" s="12" t="n">
        <v>46310</v>
      </c>
      <c r="G29" s="9" t="n">
        <f aca="false">F29-E29+1</f>
        <v>2</v>
      </c>
      <c r="H29" s="11" t="s">
        <v>86</v>
      </c>
      <c r="I29" s="9" t="s">
        <v>50</v>
      </c>
      <c r="J29" s="13" t="s">
        <v>29</v>
      </c>
      <c r="K29" s="14" t="s">
        <v>30</v>
      </c>
      <c r="L29" s="19" t="str">
        <f aca="false">IF(AND(L$4&gt;=$E29,L$4&lt;=$F29),"■","")</f>
        <v/>
      </c>
      <c r="M29" s="19" t="str">
        <f aca="false">IF(AND(M$4&gt;=$E29,M$4&lt;=$F29),"■","")</f>
        <v/>
      </c>
      <c r="N29" s="19" t="str">
        <f aca="false">IF(AND(N$4&gt;=$E29,N$4&lt;=$F29),"■","")</f>
        <v/>
      </c>
      <c r="O29" s="19" t="str">
        <f aca="false">IF(AND(O$4&gt;=$E29,O$4&lt;=$F29),"■","")</f>
        <v/>
      </c>
      <c r="P29" s="19" t="str">
        <f aca="false">IF(AND(P$4&gt;=$E29,P$4&lt;=$F29),"■","")</f>
        <v/>
      </c>
      <c r="Q29" s="19" t="str">
        <f aca="false">IF(AND(Q$4&gt;=$E29,Q$4&lt;=$F29),"■","")</f>
        <v/>
      </c>
      <c r="R29" s="19" t="str">
        <f aca="false">IF(AND(R$4&gt;=$E29,R$4&lt;=$F29),"■","")</f>
        <v/>
      </c>
      <c r="S29" s="19" t="str">
        <f aca="false">IF(AND(S$4&gt;=$E29,S$4&lt;=$F29),"■","")</f>
        <v/>
      </c>
      <c r="T29" s="19" t="str">
        <f aca="false">IF(AND(T$4&gt;=$E29,T$4&lt;=$F29),"■","")</f>
        <v/>
      </c>
      <c r="U29" s="19" t="str">
        <f aca="false">IF(AND(U$4&gt;=$E29,U$4&lt;=$F29),"■","")</f>
        <v>■</v>
      </c>
      <c r="V29" s="19" t="str">
        <f aca="false">IF(AND(V$4&gt;=$E29,V$4&lt;=$F29),"■","")</f>
        <v>■</v>
      </c>
      <c r="W29" s="19" t="str">
        <f aca="false">IF(AND(W$4&gt;=$E29,W$4&lt;=$F29),"■","")</f>
        <v/>
      </c>
    </row>
    <row r="30" customFormat="false" ht="30" hidden="false" customHeight="true" outlineLevel="0" collapsed="false">
      <c r="A30" s="9" t="s">
        <v>126</v>
      </c>
      <c r="B30" s="20" t="s">
        <v>127</v>
      </c>
      <c r="C30" s="11" t="s">
        <v>128</v>
      </c>
      <c r="D30" s="11" t="s">
        <v>129</v>
      </c>
      <c r="E30" s="12" t="n">
        <v>46301</v>
      </c>
      <c r="F30" s="12" t="n">
        <v>46301</v>
      </c>
      <c r="G30" s="9" t="n">
        <f aca="false">F30-E30+1</f>
        <v>1</v>
      </c>
      <c r="H30" s="9" t="s">
        <v>130</v>
      </c>
      <c r="I30" s="9" t="s">
        <v>131</v>
      </c>
      <c r="J30" s="13" t="s">
        <v>29</v>
      </c>
      <c r="K30" s="14" t="s">
        <v>30</v>
      </c>
      <c r="L30" s="21" t="str">
        <f aca="false">IF(AND(L$4&gt;=$E30,L$4&lt;=$F30),"■","")</f>
        <v/>
      </c>
      <c r="M30" s="21" t="str">
        <f aca="false">IF(AND(M$4&gt;=$E30,M$4&lt;=$F30),"■","")</f>
        <v>■</v>
      </c>
      <c r="N30" s="21" t="str">
        <f aca="false">IF(AND(N$4&gt;=$E30,N$4&lt;=$F30),"■","")</f>
        <v/>
      </c>
      <c r="O30" s="21" t="str">
        <f aca="false">IF(AND(O$4&gt;=$E30,O$4&lt;=$F30),"■","")</f>
        <v/>
      </c>
      <c r="P30" s="21" t="str">
        <f aca="false">IF(AND(P$4&gt;=$E30,P$4&lt;=$F30),"■","")</f>
        <v/>
      </c>
      <c r="Q30" s="21" t="str">
        <f aca="false">IF(AND(Q$4&gt;=$E30,Q$4&lt;=$F30),"■","")</f>
        <v/>
      </c>
      <c r="R30" s="21" t="str">
        <f aca="false">IF(AND(R$4&gt;=$E30,R$4&lt;=$F30),"■","")</f>
        <v/>
      </c>
      <c r="S30" s="21" t="str">
        <f aca="false">IF(AND(S$4&gt;=$E30,S$4&lt;=$F30),"■","")</f>
        <v/>
      </c>
      <c r="T30" s="21" t="str">
        <f aca="false">IF(AND(T$4&gt;=$E30,T$4&lt;=$F30),"■","")</f>
        <v/>
      </c>
      <c r="U30" s="21" t="str">
        <f aca="false">IF(AND(U$4&gt;=$E30,U$4&lt;=$F30),"■","")</f>
        <v/>
      </c>
      <c r="V30" s="21" t="str">
        <f aca="false">IF(AND(V$4&gt;=$E30,V$4&lt;=$F30),"■","")</f>
        <v/>
      </c>
      <c r="W30" s="21" t="str">
        <f aca="false">IF(AND(W$4&gt;=$E30,W$4&lt;=$F30),"■","")</f>
        <v/>
      </c>
    </row>
    <row r="31" customFormat="false" ht="30" hidden="false" customHeight="true" outlineLevel="0" collapsed="false">
      <c r="A31" s="9" t="s">
        <v>132</v>
      </c>
      <c r="B31" s="20" t="s">
        <v>127</v>
      </c>
      <c r="C31" s="11" t="s">
        <v>128</v>
      </c>
      <c r="D31" s="11" t="s">
        <v>133</v>
      </c>
      <c r="E31" s="12" t="n">
        <v>46302</v>
      </c>
      <c r="F31" s="12" t="n">
        <v>46303</v>
      </c>
      <c r="G31" s="9" t="n">
        <f aca="false">F31-E31+1</f>
        <v>2</v>
      </c>
      <c r="H31" s="11" t="s">
        <v>134</v>
      </c>
      <c r="I31" s="9" t="s">
        <v>135</v>
      </c>
      <c r="J31" s="13" t="s">
        <v>29</v>
      </c>
      <c r="K31" s="14" t="s">
        <v>30</v>
      </c>
      <c r="L31" s="21" t="str">
        <f aca="false">IF(AND(L$4&gt;=$E31,L$4&lt;=$F31),"■","")</f>
        <v/>
      </c>
      <c r="M31" s="21" t="str">
        <f aca="false">IF(AND(M$4&gt;=$E31,M$4&lt;=$F31),"■","")</f>
        <v/>
      </c>
      <c r="N31" s="21" t="str">
        <f aca="false">IF(AND(N$4&gt;=$E31,N$4&lt;=$F31),"■","")</f>
        <v>■</v>
      </c>
      <c r="O31" s="21" t="str">
        <f aca="false">IF(AND(O$4&gt;=$E31,O$4&lt;=$F31),"■","")</f>
        <v>■</v>
      </c>
      <c r="P31" s="21" t="str">
        <f aca="false">IF(AND(P$4&gt;=$E31,P$4&lt;=$F31),"■","")</f>
        <v/>
      </c>
      <c r="Q31" s="21" t="str">
        <f aca="false">IF(AND(Q$4&gt;=$E31,Q$4&lt;=$F31),"■","")</f>
        <v/>
      </c>
      <c r="R31" s="21" t="str">
        <f aca="false">IF(AND(R$4&gt;=$E31,R$4&lt;=$F31),"■","")</f>
        <v/>
      </c>
      <c r="S31" s="21" t="str">
        <f aca="false">IF(AND(S$4&gt;=$E31,S$4&lt;=$F31),"■","")</f>
        <v/>
      </c>
      <c r="T31" s="21" t="str">
        <f aca="false">IF(AND(T$4&gt;=$E31,T$4&lt;=$F31),"■","")</f>
        <v/>
      </c>
      <c r="U31" s="21" t="str">
        <f aca="false">IF(AND(U$4&gt;=$E31,U$4&lt;=$F31),"■","")</f>
        <v/>
      </c>
      <c r="V31" s="21" t="str">
        <f aca="false">IF(AND(V$4&gt;=$E31,V$4&lt;=$F31),"■","")</f>
        <v/>
      </c>
      <c r="W31" s="21" t="str">
        <f aca="false">IF(AND(W$4&gt;=$E31,W$4&lt;=$F31),"■","")</f>
        <v/>
      </c>
    </row>
    <row r="32" customFormat="false" ht="30" hidden="false" customHeight="true" outlineLevel="0" collapsed="false">
      <c r="A32" s="9" t="s">
        <v>136</v>
      </c>
      <c r="B32" s="20" t="s">
        <v>127</v>
      </c>
      <c r="C32" s="11" t="s">
        <v>128</v>
      </c>
      <c r="D32" s="9" t="s">
        <v>137</v>
      </c>
      <c r="E32" s="12" t="n">
        <v>46303</v>
      </c>
      <c r="F32" s="12" t="n">
        <v>46305</v>
      </c>
      <c r="G32" s="9" t="n">
        <f aca="false">F32-E32+1</f>
        <v>3</v>
      </c>
      <c r="H32" s="11" t="s">
        <v>138</v>
      </c>
      <c r="I32" s="9" t="s">
        <v>139</v>
      </c>
      <c r="J32" s="13" t="s">
        <v>29</v>
      </c>
      <c r="K32" s="14" t="s">
        <v>30</v>
      </c>
      <c r="L32" s="21" t="str">
        <f aca="false">IF(AND(L$4&gt;=$E32,L$4&lt;=$F32),"■","")</f>
        <v/>
      </c>
      <c r="M32" s="21" t="str">
        <f aca="false">IF(AND(M$4&gt;=$E32,M$4&lt;=$F32),"■","")</f>
        <v/>
      </c>
      <c r="N32" s="21" t="str">
        <f aca="false">IF(AND(N$4&gt;=$E32,N$4&lt;=$F32),"■","")</f>
        <v/>
      </c>
      <c r="O32" s="21" t="str">
        <f aca="false">IF(AND(O$4&gt;=$E32,O$4&lt;=$F32),"■","")</f>
        <v>■</v>
      </c>
      <c r="P32" s="21" t="str">
        <f aca="false">IF(AND(P$4&gt;=$E32,P$4&lt;=$F32),"■","")</f>
        <v>■</v>
      </c>
      <c r="Q32" s="21" t="str">
        <f aca="false">IF(AND(Q$4&gt;=$E32,Q$4&lt;=$F32),"■","")</f>
        <v>■</v>
      </c>
      <c r="R32" s="21" t="str">
        <f aca="false">IF(AND(R$4&gt;=$E32,R$4&lt;=$F32),"■","")</f>
        <v/>
      </c>
      <c r="S32" s="21" t="str">
        <f aca="false">IF(AND(S$4&gt;=$E32,S$4&lt;=$F32),"■","")</f>
        <v/>
      </c>
      <c r="T32" s="21" t="str">
        <f aca="false">IF(AND(T$4&gt;=$E32,T$4&lt;=$F32),"■","")</f>
        <v/>
      </c>
      <c r="U32" s="21" t="str">
        <f aca="false">IF(AND(U$4&gt;=$E32,U$4&lt;=$F32),"■","")</f>
        <v/>
      </c>
      <c r="V32" s="21" t="str">
        <f aca="false">IF(AND(V$4&gt;=$E32,V$4&lt;=$F32),"■","")</f>
        <v/>
      </c>
      <c r="W32" s="21" t="str">
        <f aca="false">IF(AND(W$4&gt;=$E32,W$4&lt;=$F32),"■","")</f>
        <v/>
      </c>
    </row>
    <row r="33" customFormat="false" ht="30" hidden="false" customHeight="true" outlineLevel="0" collapsed="false">
      <c r="A33" s="9" t="s">
        <v>140</v>
      </c>
      <c r="B33" s="20" t="s">
        <v>127</v>
      </c>
      <c r="C33" s="11" t="s">
        <v>128</v>
      </c>
      <c r="D33" s="11" t="s">
        <v>141</v>
      </c>
      <c r="E33" s="12" t="n">
        <v>46306</v>
      </c>
      <c r="F33" s="12" t="n">
        <v>46308</v>
      </c>
      <c r="G33" s="9" t="n">
        <f aca="false">F33-E33+1</f>
        <v>3</v>
      </c>
      <c r="H33" s="11" t="s">
        <v>142</v>
      </c>
      <c r="I33" s="9" t="s">
        <v>143</v>
      </c>
      <c r="J33" s="13" t="s">
        <v>29</v>
      </c>
      <c r="K33" s="14" t="s">
        <v>30</v>
      </c>
      <c r="L33" s="21" t="str">
        <f aca="false">IF(AND(L$4&gt;=$E33,L$4&lt;=$F33),"■","")</f>
        <v/>
      </c>
      <c r="M33" s="21" t="str">
        <f aca="false">IF(AND(M$4&gt;=$E33,M$4&lt;=$F33),"■","")</f>
        <v/>
      </c>
      <c r="N33" s="21" t="str">
        <f aca="false">IF(AND(N$4&gt;=$E33,N$4&lt;=$F33),"■","")</f>
        <v/>
      </c>
      <c r="O33" s="21" t="str">
        <f aca="false">IF(AND(O$4&gt;=$E33,O$4&lt;=$F33),"■","")</f>
        <v/>
      </c>
      <c r="P33" s="21" t="str">
        <f aca="false">IF(AND(P$4&gt;=$E33,P$4&lt;=$F33),"■","")</f>
        <v/>
      </c>
      <c r="Q33" s="21" t="str">
        <f aca="false">IF(AND(Q$4&gt;=$E33,Q$4&lt;=$F33),"■","")</f>
        <v/>
      </c>
      <c r="R33" s="21" t="str">
        <f aca="false">IF(AND(R$4&gt;=$E33,R$4&lt;=$F33),"■","")</f>
        <v>■</v>
      </c>
      <c r="S33" s="21" t="str">
        <f aca="false">IF(AND(S$4&gt;=$E33,S$4&lt;=$F33),"■","")</f>
        <v>■</v>
      </c>
      <c r="T33" s="21" t="str">
        <f aca="false">IF(AND(T$4&gt;=$E33,T$4&lt;=$F33),"■","")</f>
        <v>■</v>
      </c>
      <c r="U33" s="21" t="str">
        <f aca="false">IF(AND(U$4&gt;=$E33,U$4&lt;=$F33),"■","")</f>
        <v/>
      </c>
      <c r="V33" s="21" t="str">
        <f aca="false">IF(AND(V$4&gt;=$E33,V$4&lt;=$F33),"■","")</f>
        <v/>
      </c>
      <c r="W33" s="21" t="str">
        <f aca="false">IF(AND(W$4&gt;=$E33,W$4&lt;=$F33),"■","")</f>
        <v/>
      </c>
    </row>
    <row r="34" customFormat="false" ht="30" hidden="false" customHeight="true" outlineLevel="0" collapsed="false">
      <c r="A34" s="9" t="s">
        <v>144</v>
      </c>
      <c r="B34" s="20" t="s">
        <v>127</v>
      </c>
      <c r="C34" s="11" t="s">
        <v>128</v>
      </c>
      <c r="D34" s="11" t="s">
        <v>145</v>
      </c>
      <c r="E34" s="12" t="n">
        <v>46309</v>
      </c>
      <c r="F34" s="12" t="n">
        <v>46310</v>
      </c>
      <c r="G34" s="9" t="n">
        <f aca="false">F34-E34+1</f>
        <v>2</v>
      </c>
      <c r="H34" s="11" t="s">
        <v>86</v>
      </c>
      <c r="I34" s="9" t="s">
        <v>146</v>
      </c>
      <c r="J34" s="13" t="s">
        <v>29</v>
      </c>
      <c r="K34" s="14" t="s">
        <v>30</v>
      </c>
      <c r="L34" s="21" t="str">
        <f aca="false">IF(AND(L$4&gt;=$E34,L$4&lt;=$F34),"■","")</f>
        <v/>
      </c>
      <c r="M34" s="21" t="str">
        <f aca="false">IF(AND(M$4&gt;=$E34,M$4&lt;=$F34),"■","")</f>
        <v/>
      </c>
      <c r="N34" s="21" t="str">
        <f aca="false">IF(AND(N$4&gt;=$E34,N$4&lt;=$F34),"■","")</f>
        <v/>
      </c>
      <c r="O34" s="21" t="str">
        <f aca="false">IF(AND(O$4&gt;=$E34,O$4&lt;=$F34),"■","")</f>
        <v/>
      </c>
      <c r="P34" s="21" t="str">
        <f aca="false">IF(AND(P$4&gt;=$E34,P$4&lt;=$F34),"■","")</f>
        <v/>
      </c>
      <c r="Q34" s="21" t="str">
        <f aca="false">IF(AND(Q$4&gt;=$E34,Q$4&lt;=$F34),"■","")</f>
        <v/>
      </c>
      <c r="R34" s="21" t="str">
        <f aca="false">IF(AND(R$4&gt;=$E34,R$4&lt;=$F34),"■","")</f>
        <v/>
      </c>
      <c r="S34" s="21" t="str">
        <f aca="false">IF(AND(S$4&gt;=$E34,S$4&lt;=$F34),"■","")</f>
        <v/>
      </c>
      <c r="T34" s="21" t="str">
        <f aca="false">IF(AND(T$4&gt;=$E34,T$4&lt;=$F34),"■","")</f>
        <v/>
      </c>
      <c r="U34" s="21" t="str">
        <f aca="false">IF(AND(U$4&gt;=$E34,U$4&lt;=$F34),"■","")</f>
        <v>■</v>
      </c>
      <c r="V34" s="21" t="str">
        <f aca="false">IF(AND(V$4&gt;=$E34,V$4&lt;=$F34),"■","")</f>
        <v>■</v>
      </c>
      <c r="W34" s="21" t="str">
        <f aca="false">IF(AND(W$4&gt;=$E34,W$4&lt;=$F34),"■","")</f>
        <v/>
      </c>
    </row>
    <row r="35" customFormat="false" ht="30" hidden="false" customHeight="true" outlineLevel="0" collapsed="false">
      <c r="A35" s="9" t="s">
        <v>147</v>
      </c>
      <c r="B35" s="13" t="s">
        <v>148</v>
      </c>
      <c r="C35" s="11" t="s">
        <v>149</v>
      </c>
      <c r="D35" s="11" t="s">
        <v>150</v>
      </c>
      <c r="E35" s="12" t="n">
        <v>46301</v>
      </c>
      <c r="F35" s="12" t="n">
        <v>46301</v>
      </c>
      <c r="G35" s="9" t="n">
        <f aca="false">F35-E35+1</f>
        <v>1</v>
      </c>
      <c r="H35" s="11" t="s">
        <v>151</v>
      </c>
      <c r="I35" s="9" t="s">
        <v>152</v>
      </c>
      <c r="J35" s="13" t="s">
        <v>29</v>
      </c>
      <c r="K35" s="14" t="s">
        <v>30</v>
      </c>
      <c r="L35" s="22" t="str">
        <f aca="false">IF(AND(L$4&gt;=$E35,L$4&lt;=$F35),"■","")</f>
        <v/>
      </c>
      <c r="M35" s="22" t="str">
        <f aca="false">IF(AND(M$4&gt;=$E35,M$4&lt;=$F35),"■","")</f>
        <v>■</v>
      </c>
      <c r="N35" s="22" t="str">
        <f aca="false">IF(AND(N$4&gt;=$E35,N$4&lt;=$F35),"■","")</f>
        <v/>
      </c>
      <c r="O35" s="22" t="str">
        <f aca="false">IF(AND(O$4&gt;=$E35,O$4&lt;=$F35),"■","")</f>
        <v/>
      </c>
      <c r="P35" s="22" t="str">
        <f aca="false">IF(AND(P$4&gt;=$E35,P$4&lt;=$F35),"■","")</f>
        <v/>
      </c>
      <c r="Q35" s="22" t="str">
        <f aca="false">IF(AND(Q$4&gt;=$E35,Q$4&lt;=$F35),"■","")</f>
        <v/>
      </c>
      <c r="R35" s="22" t="str">
        <f aca="false">IF(AND(R$4&gt;=$E35,R$4&lt;=$F35),"■","")</f>
        <v/>
      </c>
      <c r="S35" s="22" t="str">
        <f aca="false">IF(AND(S$4&gt;=$E35,S$4&lt;=$F35),"■","")</f>
        <v/>
      </c>
      <c r="T35" s="22" t="str">
        <f aca="false">IF(AND(T$4&gt;=$E35,T$4&lt;=$F35),"■","")</f>
        <v/>
      </c>
      <c r="U35" s="22" t="str">
        <f aca="false">IF(AND(U$4&gt;=$E35,U$4&lt;=$F35),"■","")</f>
        <v/>
      </c>
      <c r="V35" s="22" t="str">
        <f aca="false">IF(AND(V$4&gt;=$E35,V$4&lt;=$F35),"■","")</f>
        <v/>
      </c>
      <c r="W35" s="22" t="str">
        <f aca="false">IF(AND(W$4&gt;=$E35,W$4&lt;=$F35),"■","")</f>
        <v/>
      </c>
    </row>
    <row r="36" customFormat="false" ht="30" hidden="false" customHeight="true" outlineLevel="0" collapsed="false">
      <c r="A36" s="9" t="s">
        <v>153</v>
      </c>
      <c r="B36" s="13" t="s">
        <v>148</v>
      </c>
      <c r="C36" s="11" t="s">
        <v>149</v>
      </c>
      <c r="D36" s="11" t="s">
        <v>154</v>
      </c>
      <c r="E36" s="12" t="n">
        <v>46301</v>
      </c>
      <c r="F36" s="12" t="n">
        <v>46301</v>
      </c>
      <c r="G36" s="9" t="n">
        <f aca="false">F36-E36+1</f>
        <v>1</v>
      </c>
      <c r="H36" s="9" t="s">
        <v>155</v>
      </c>
      <c r="I36" s="9" t="s">
        <v>156</v>
      </c>
      <c r="J36" s="13" t="s">
        <v>29</v>
      </c>
      <c r="K36" s="14" t="s">
        <v>30</v>
      </c>
      <c r="L36" s="22" t="str">
        <f aca="false">IF(AND(L$4&gt;=$E36,L$4&lt;=$F36),"■","")</f>
        <v/>
      </c>
      <c r="M36" s="22" t="str">
        <f aca="false">IF(AND(M$4&gt;=$E36,M$4&lt;=$F36),"■","")</f>
        <v>■</v>
      </c>
      <c r="N36" s="22" t="str">
        <f aca="false">IF(AND(N$4&gt;=$E36,N$4&lt;=$F36),"■","")</f>
        <v/>
      </c>
      <c r="O36" s="22" t="str">
        <f aca="false">IF(AND(O$4&gt;=$E36,O$4&lt;=$F36),"■","")</f>
        <v/>
      </c>
      <c r="P36" s="22" t="str">
        <f aca="false">IF(AND(P$4&gt;=$E36,P$4&lt;=$F36),"■","")</f>
        <v/>
      </c>
      <c r="Q36" s="22" t="str">
        <f aca="false">IF(AND(Q$4&gt;=$E36,Q$4&lt;=$F36),"■","")</f>
        <v/>
      </c>
      <c r="R36" s="22" t="str">
        <f aca="false">IF(AND(R$4&gt;=$E36,R$4&lt;=$F36),"■","")</f>
        <v/>
      </c>
      <c r="S36" s="22" t="str">
        <f aca="false">IF(AND(S$4&gt;=$E36,S$4&lt;=$F36),"■","")</f>
        <v/>
      </c>
      <c r="T36" s="22" t="str">
        <f aca="false">IF(AND(T$4&gt;=$E36,T$4&lt;=$F36),"■","")</f>
        <v/>
      </c>
      <c r="U36" s="22" t="str">
        <f aca="false">IF(AND(U$4&gt;=$E36,U$4&lt;=$F36),"■","")</f>
        <v/>
      </c>
      <c r="V36" s="22" t="str">
        <f aca="false">IF(AND(V$4&gt;=$E36,V$4&lt;=$F36),"■","")</f>
        <v/>
      </c>
      <c r="W36" s="22" t="str">
        <f aca="false">IF(AND(W$4&gt;=$E36,W$4&lt;=$F36),"■","")</f>
        <v/>
      </c>
    </row>
    <row r="37" customFormat="false" ht="30" hidden="false" customHeight="true" outlineLevel="0" collapsed="false">
      <c r="A37" s="9" t="s">
        <v>157</v>
      </c>
      <c r="B37" s="13" t="s">
        <v>148</v>
      </c>
      <c r="C37" s="11" t="s">
        <v>149</v>
      </c>
      <c r="D37" s="11" t="s">
        <v>158</v>
      </c>
      <c r="E37" s="12" t="n">
        <v>46301</v>
      </c>
      <c r="F37" s="12" t="n">
        <v>46303</v>
      </c>
      <c r="G37" s="9" t="n">
        <f aca="false">F37-E37+1</f>
        <v>3</v>
      </c>
      <c r="H37" s="9" t="s">
        <v>159</v>
      </c>
      <c r="I37" s="9" t="s">
        <v>160</v>
      </c>
      <c r="J37" s="13" t="s">
        <v>29</v>
      </c>
      <c r="K37" s="14" t="s">
        <v>30</v>
      </c>
      <c r="L37" s="22" t="str">
        <f aca="false">IF(AND(L$4&gt;=$E37,L$4&lt;=$F37),"■","")</f>
        <v/>
      </c>
      <c r="M37" s="22" t="str">
        <f aca="false">IF(AND(M$4&gt;=$E37,M$4&lt;=$F37),"■","")</f>
        <v>■</v>
      </c>
      <c r="N37" s="22" t="str">
        <f aca="false">IF(AND(N$4&gt;=$E37,N$4&lt;=$F37),"■","")</f>
        <v>■</v>
      </c>
      <c r="O37" s="22" t="str">
        <f aca="false">IF(AND(O$4&gt;=$E37,O$4&lt;=$F37),"■","")</f>
        <v>■</v>
      </c>
      <c r="P37" s="22" t="str">
        <f aca="false">IF(AND(P$4&gt;=$E37,P$4&lt;=$F37),"■","")</f>
        <v/>
      </c>
      <c r="Q37" s="22" t="str">
        <f aca="false">IF(AND(Q$4&gt;=$E37,Q$4&lt;=$F37),"■","")</f>
        <v/>
      </c>
      <c r="R37" s="22" t="str">
        <f aca="false">IF(AND(R$4&gt;=$E37,R$4&lt;=$F37),"■","")</f>
        <v/>
      </c>
      <c r="S37" s="22" t="str">
        <f aca="false">IF(AND(S$4&gt;=$E37,S$4&lt;=$F37),"■","")</f>
        <v/>
      </c>
      <c r="T37" s="22" t="str">
        <f aca="false">IF(AND(T$4&gt;=$E37,T$4&lt;=$F37),"■","")</f>
        <v/>
      </c>
      <c r="U37" s="22" t="str">
        <f aca="false">IF(AND(U$4&gt;=$E37,U$4&lt;=$F37),"■","")</f>
        <v/>
      </c>
      <c r="V37" s="22" t="str">
        <f aca="false">IF(AND(V$4&gt;=$E37,V$4&lt;=$F37),"■","")</f>
        <v/>
      </c>
      <c r="W37" s="22" t="str">
        <f aca="false">IF(AND(W$4&gt;=$E37,W$4&lt;=$F37),"■","")</f>
        <v/>
      </c>
    </row>
    <row r="38" customFormat="false" ht="30" hidden="false" customHeight="true" outlineLevel="0" collapsed="false">
      <c r="A38" s="9" t="s">
        <v>161</v>
      </c>
      <c r="B38" s="13" t="s">
        <v>148</v>
      </c>
      <c r="C38" s="11" t="s">
        <v>149</v>
      </c>
      <c r="D38" s="11" t="s">
        <v>162</v>
      </c>
      <c r="E38" s="12" t="n">
        <v>46302</v>
      </c>
      <c r="F38" s="12" t="n">
        <v>46302</v>
      </c>
      <c r="G38" s="9" t="n">
        <f aca="false">F38-E38+1</f>
        <v>1</v>
      </c>
      <c r="H38" s="11" t="s">
        <v>163</v>
      </c>
      <c r="I38" s="9" t="s">
        <v>164</v>
      </c>
      <c r="J38" s="13" t="s">
        <v>29</v>
      </c>
      <c r="K38" s="14" t="s">
        <v>30</v>
      </c>
      <c r="L38" s="22" t="str">
        <f aca="false">IF(AND(L$4&gt;=$E38,L$4&lt;=$F38),"■","")</f>
        <v/>
      </c>
      <c r="M38" s="22" t="str">
        <f aca="false">IF(AND(M$4&gt;=$E38,M$4&lt;=$F38),"■","")</f>
        <v/>
      </c>
      <c r="N38" s="22" t="str">
        <f aca="false">IF(AND(N$4&gt;=$E38,N$4&lt;=$F38),"■","")</f>
        <v>■</v>
      </c>
      <c r="O38" s="22" t="str">
        <f aca="false">IF(AND(O$4&gt;=$E38,O$4&lt;=$F38),"■","")</f>
        <v/>
      </c>
      <c r="P38" s="22" t="str">
        <f aca="false">IF(AND(P$4&gt;=$E38,P$4&lt;=$F38),"■","")</f>
        <v/>
      </c>
      <c r="Q38" s="22" t="str">
        <f aca="false">IF(AND(Q$4&gt;=$E38,Q$4&lt;=$F38),"■","")</f>
        <v/>
      </c>
      <c r="R38" s="22" t="str">
        <f aca="false">IF(AND(R$4&gt;=$E38,R$4&lt;=$F38),"■","")</f>
        <v/>
      </c>
      <c r="S38" s="22" t="str">
        <f aca="false">IF(AND(S$4&gt;=$E38,S$4&lt;=$F38),"■","")</f>
        <v/>
      </c>
      <c r="T38" s="22" t="str">
        <f aca="false">IF(AND(T$4&gt;=$E38,T$4&lt;=$F38),"■","")</f>
        <v/>
      </c>
      <c r="U38" s="22" t="str">
        <f aca="false">IF(AND(U$4&gt;=$E38,U$4&lt;=$F38),"■","")</f>
        <v/>
      </c>
      <c r="V38" s="22" t="str">
        <f aca="false">IF(AND(V$4&gt;=$E38,V$4&lt;=$F38),"■","")</f>
        <v/>
      </c>
      <c r="W38" s="22" t="str">
        <f aca="false">IF(AND(W$4&gt;=$E38,W$4&lt;=$F38),"■","")</f>
        <v/>
      </c>
    </row>
    <row r="39" customFormat="false" ht="30" hidden="false" customHeight="true" outlineLevel="0" collapsed="false">
      <c r="A39" s="9" t="s">
        <v>165</v>
      </c>
      <c r="B39" s="13" t="s">
        <v>148</v>
      </c>
      <c r="C39" s="11" t="s">
        <v>149</v>
      </c>
      <c r="D39" s="9" t="s">
        <v>166</v>
      </c>
      <c r="E39" s="12" t="n">
        <v>46302</v>
      </c>
      <c r="F39" s="12" t="n">
        <v>46303</v>
      </c>
      <c r="G39" s="9" t="n">
        <f aca="false">F39-E39+1</f>
        <v>2</v>
      </c>
      <c r="H39" s="11" t="s">
        <v>167</v>
      </c>
      <c r="I39" s="9" t="s">
        <v>168</v>
      </c>
      <c r="J39" s="13" t="s">
        <v>29</v>
      </c>
      <c r="K39" s="14" t="s">
        <v>30</v>
      </c>
      <c r="L39" s="22" t="str">
        <f aca="false">IF(AND(L$4&gt;=$E39,L$4&lt;=$F39),"■","")</f>
        <v/>
      </c>
      <c r="M39" s="22" t="str">
        <f aca="false">IF(AND(M$4&gt;=$E39,M$4&lt;=$F39),"■","")</f>
        <v/>
      </c>
      <c r="N39" s="22" t="str">
        <f aca="false">IF(AND(N$4&gt;=$E39,N$4&lt;=$F39),"■","")</f>
        <v>■</v>
      </c>
      <c r="O39" s="22" t="str">
        <f aca="false">IF(AND(O$4&gt;=$E39,O$4&lt;=$F39),"■","")</f>
        <v>■</v>
      </c>
      <c r="P39" s="22" t="str">
        <f aca="false">IF(AND(P$4&gt;=$E39,P$4&lt;=$F39),"■","")</f>
        <v/>
      </c>
      <c r="Q39" s="22" t="str">
        <f aca="false">IF(AND(Q$4&gt;=$E39,Q$4&lt;=$F39),"■","")</f>
        <v/>
      </c>
      <c r="R39" s="22" t="str">
        <f aca="false">IF(AND(R$4&gt;=$E39,R$4&lt;=$F39),"■","")</f>
        <v/>
      </c>
      <c r="S39" s="22" t="str">
        <f aca="false">IF(AND(S$4&gt;=$E39,S$4&lt;=$F39),"■","")</f>
        <v/>
      </c>
      <c r="T39" s="22" t="str">
        <f aca="false">IF(AND(T$4&gt;=$E39,T$4&lt;=$F39),"■","")</f>
        <v/>
      </c>
      <c r="U39" s="22" t="str">
        <f aca="false">IF(AND(U$4&gt;=$E39,U$4&lt;=$F39),"■","")</f>
        <v/>
      </c>
      <c r="V39" s="22" t="str">
        <f aca="false">IF(AND(V$4&gt;=$E39,V$4&lt;=$F39),"■","")</f>
        <v/>
      </c>
      <c r="W39" s="22" t="str">
        <f aca="false">IF(AND(W$4&gt;=$E39,W$4&lt;=$F39),"■","")</f>
        <v/>
      </c>
    </row>
    <row r="40" customFormat="false" ht="30" hidden="false" customHeight="true" outlineLevel="0" collapsed="false">
      <c r="A40" s="9" t="s">
        <v>169</v>
      </c>
      <c r="B40" s="13" t="s">
        <v>148</v>
      </c>
      <c r="C40" s="11" t="s">
        <v>149</v>
      </c>
      <c r="D40" s="11" t="s">
        <v>170</v>
      </c>
      <c r="E40" s="12" t="n">
        <v>46303</v>
      </c>
      <c r="F40" s="12" t="n">
        <v>46305</v>
      </c>
      <c r="G40" s="9" t="n">
        <f aca="false">F40-E40+1</f>
        <v>3</v>
      </c>
      <c r="H40" s="9" t="s">
        <v>171</v>
      </c>
      <c r="I40" s="9" t="s">
        <v>172</v>
      </c>
      <c r="J40" s="13" t="s">
        <v>29</v>
      </c>
      <c r="K40" s="14" t="s">
        <v>30</v>
      </c>
      <c r="L40" s="22" t="str">
        <f aca="false">IF(AND(L$4&gt;=$E40,L$4&lt;=$F40),"■","")</f>
        <v/>
      </c>
      <c r="M40" s="22" t="str">
        <f aca="false">IF(AND(M$4&gt;=$E40,M$4&lt;=$F40),"■","")</f>
        <v/>
      </c>
      <c r="N40" s="22" t="str">
        <f aca="false">IF(AND(N$4&gt;=$E40,N$4&lt;=$F40),"■","")</f>
        <v/>
      </c>
      <c r="O40" s="22" t="str">
        <f aca="false">IF(AND(O$4&gt;=$E40,O$4&lt;=$F40),"■","")</f>
        <v>■</v>
      </c>
      <c r="P40" s="22" t="str">
        <f aca="false">IF(AND(P$4&gt;=$E40,P$4&lt;=$F40),"■","")</f>
        <v>■</v>
      </c>
      <c r="Q40" s="22" t="str">
        <f aca="false">IF(AND(Q$4&gt;=$E40,Q$4&lt;=$F40),"■","")</f>
        <v>■</v>
      </c>
      <c r="R40" s="22" t="str">
        <f aca="false">IF(AND(R$4&gt;=$E40,R$4&lt;=$F40),"■","")</f>
        <v/>
      </c>
      <c r="S40" s="22" t="str">
        <f aca="false">IF(AND(S$4&gt;=$E40,S$4&lt;=$F40),"■","")</f>
        <v/>
      </c>
      <c r="T40" s="22" t="str">
        <f aca="false">IF(AND(T$4&gt;=$E40,T$4&lt;=$F40),"■","")</f>
        <v/>
      </c>
      <c r="U40" s="22" t="str">
        <f aca="false">IF(AND(U$4&gt;=$E40,U$4&lt;=$F40),"■","")</f>
        <v/>
      </c>
      <c r="V40" s="22" t="str">
        <f aca="false">IF(AND(V$4&gt;=$E40,V$4&lt;=$F40),"■","")</f>
        <v/>
      </c>
      <c r="W40" s="22" t="str">
        <f aca="false">IF(AND(W$4&gt;=$E40,W$4&lt;=$F40),"■","")</f>
        <v/>
      </c>
    </row>
    <row r="41" customFormat="false" ht="30" hidden="false" customHeight="true" outlineLevel="0" collapsed="false">
      <c r="A41" s="9" t="s">
        <v>173</v>
      </c>
      <c r="B41" s="13" t="s">
        <v>148</v>
      </c>
      <c r="C41" s="11" t="s">
        <v>149</v>
      </c>
      <c r="D41" s="11" t="s">
        <v>174</v>
      </c>
      <c r="E41" s="12" t="n">
        <v>46306</v>
      </c>
      <c r="F41" s="12" t="n">
        <v>46308</v>
      </c>
      <c r="G41" s="9" t="n">
        <f aca="false">F41-E41+1</f>
        <v>3</v>
      </c>
      <c r="H41" s="11" t="s">
        <v>175</v>
      </c>
      <c r="I41" s="9" t="s">
        <v>176</v>
      </c>
      <c r="J41" s="13" t="s">
        <v>29</v>
      </c>
      <c r="K41" s="14" t="s">
        <v>30</v>
      </c>
      <c r="L41" s="22" t="str">
        <f aca="false">IF(AND(L$4&gt;=$E41,L$4&lt;=$F41),"■","")</f>
        <v/>
      </c>
      <c r="M41" s="22" t="str">
        <f aca="false">IF(AND(M$4&gt;=$E41,M$4&lt;=$F41),"■","")</f>
        <v/>
      </c>
      <c r="N41" s="22" t="str">
        <f aca="false">IF(AND(N$4&gt;=$E41,N$4&lt;=$F41),"■","")</f>
        <v/>
      </c>
      <c r="O41" s="22" t="str">
        <f aca="false">IF(AND(O$4&gt;=$E41,O$4&lt;=$F41),"■","")</f>
        <v/>
      </c>
      <c r="P41" s="22" t="str">
        <f aca="false">IF(AND(P$4&gt;=$E41,P$4&lt;=$F41),"■","")</f>
        <v/>
      </c>
      <c r="Q41" s="22" t="str">
        <f aca="false">IF(AND(Q$4&gt;=$E41,Q$4&lt;=$F41),"■","")</f>
        <v/>
      </c>
      <c r="R41" s="22" t="str">
        <f aca="false">IF(AND(R$4&gt;=$E41,R$4&lt;=$F41),"■","")</f>
        <v>■</v>
      </c>
      <c r="S41" s="22" t="str">
        <f aca="false">IF(AND(S$4&gt;=$E41,S$4&lt;=$F41),"■","")</f>
        <v>■</v>
      </c>
      <c r="T41" s="22" t="str">
        <f aca="false">IF(AND(T$4&gt;=$E41,T$4&lt;=$F41),"■","")</f>
        <v>■</v>
      </c>
      <c r="U41" s="22" t="str">
        <f aca="false">IF(AND(U$4&gt;=$E41,U$4&lt;=$F41),"■","")</f>
        <v/>
      </c>
      <c r="V41" s="22" t="str">
        <f aca="false">IF(AND(V$4&gt;=$E41,V$4&lt;=$F41),"■","")</f>
        <v/>
      </c>
      <c r="W41" s="22" t="str">
        <f aca="false">IF(AND(W$4&gt;=$E41,W$4&lt;=$F41),"■","")</f>
        <v/>
      </c>
    </row>
    <row r="42" customFormat="false" ht="30" hidden="false" customHeight="true" outlineLevel="0" collapsed="false">
      <c r="A42" s="9" t="s">
        <v>177</v>
      </c>
      <c r="B42" s="13" t="s">
        <v>148</v>
      </c>
      <c r="C42" s="11" t="s">
        <v>149</v>
      </c>
      <c r="D42" s="11" t="s">
        <v>178</v>
      </c>
      <c r="E42" s="12" t="n">
        <v>46309</v>
      </c>
      <c r="F42" s="12" t="n">
        <v>46310</v>
      </c>
      <c r="G42" s="9" t="n">
        <f aca="false">F42-E42+1</f>
        <v>2</v>
      </c>
      <c r="H42" s="11" t="s">
        <v>86</v>
      </c>
      <c r="I42" s="9" t="s">
        <v>179</v>
      </c>
      <c r="J42" s="13" t="s">
        <v>29</v>
      </c>
      <c r="K42" s="14" t="s">
        <v>30</v>
      </c>
      <c r="L42" s="22" t="str">
        <f aca="false">IF(AND(L$4&gt;=$E42,L$4&lt;=$F42),"■","")</f>
        <v/>
      </c>
      <c r="M42" s="22" t="str">
        <f aca="false">IF(AND(M$4&gt;=$E42,M$4&lt;=$F42),"■","")</f>
        <v/>
      </c>
      <c r="N42" s="22" t="str">
        <f aca="false">IF(AND(N$4&gt;=$E42,N$4&lt;=$F42),"■","")</f>
        <v/>
      </c>
      <c r="O42" s="22" t="str">
        <f aca="false">IF(AND(O$4&gt;=$E42,O$4&lt;=$F42),"■","")</f>
        <v/>
      </c>
      <c r="P42" s="22" t="str">
        <f aca="false">IF(AND(P$4&gt;=$E42,P$4&lt;=$F42),"■","")</f>
        <v/>
      </c>
      <c r="Q42" s="22" t="str">
        <f aca="false">IF(AND(Q$4&gt;=$E42,Q$4&lt;=$F42),"■","")</f>
        <v/>
      </c>
      <c r="R42" s="22" t="str">
        <f aca="false">IF(AND(R$4&gt;=$E42,R$4&lt;=$F42),"■","")</f>
        <v/>
      </c>
      <c r="S42" s="22" t="str">
        <f aca="false">IF(AND(S$4&gt;=$E42,S$4&lt;=$F42),"■","")</f>
        <v/>
      </c>
      <c r="T42" s="22" t="str">
        <f aca="false">IF(AND(T$4&gt;=$E42,T$4&lt;=$F42),"■","")</f>
        <v/>
      </c>
      <c r="U42" s="22" t="str">
        <f aca="false">IF(AND(U$4&gt;=$E42,U$4&lt;=$F42),"■","")</f>
        <v>■</v>
      </c>
      <c r="V42" s="22" t="str">
        <f aca="false">IF(AND(V$4&gt;=$E42,V$4&lt;=$F42),"■","")</f>
        <v>■</v>
      </c>
      <c r="W42" s="22" t="str">
        <f aca="false">IF(AND(W$4&gt;=$E42,W$4&lt;=$F42),"■","")</f>
        <v/>
      </c>
    </row>
    <row r="43" customFormat="false" ht="30" hidden="false" customHeight="true" outlineLevel="0" collapsed="false">
      <c r="A43" s="9" t="s">
        <v>180</v>
      </c>
      <c r="B43" s="10" t="s">
        <v>24</v>
      </c>
      <c r="C43" s="11" t="s">
        <v>25</v>
      </c>
      <c r="D43" s="11" t="s">
        <v>181</v>
      </c>
      <c r="E43" s="12" t="n">
        <v>46308</v>
      </c>
      <c r="F43" s="12" t="n">
        <v>46308</v>
      </c>
      <c r="G43" s="9" t="n">
        <f aca="false">F43-E43+1</f>
        <v>1</v>
      </c>
      <c r="H43" s="11" t="s">
        <v>182</v>
      </c>
      <c r="I43" s="9" t="s">
        <v>183</v>
      </c>
      <c r="J43" s="13" t="s">
        <v>29</v>
      </c>
      <c r="K43" s="14" t="s">
        <v>30</v>
      </c>
      <c r="L43" s="15" t="str">
        <f aca="false">IF(AND(L$4&gt;=$E43,L$4&lt;=$F43),"■","")</f>
        <v/>
      </c>
      <c r="M43" s="15" t="str">
        <f aca="false">IF(AND(M$4&gt;=$E43,M$4&lt;=$F43),"■","")</f>
        <v/>
      </c>
      <c r="N43" s="15" t="str">
        <f aca="false">IF(AND(N$4&gt;=$E43,N$4&lt;=$F43),"■","")</f>
        <v/>
      </c>
      <c r="O43" s="15" t="str">
        <f aca="false">IF(AND(O$4&gt;=$E43,O$4&lt;=$F43),"■","")</f>
        <v/>
      </c>
      <c r="P43" s="15" t="str">
        <f aca="false">IF(AND(P$4&gt;=$E43,P$4&lt;=$F43),"■","")</f>
        <v/>
      </c>
      <c r="Q43" s="15" t="str">
        <f aca="false">IF(AND(Q$4&gt;=$E43,Q$4&lt;=$F43),"■","")</f>
        <v/>
      </c>
      <c r="R43" s="15" t="str">
        <f aca="false">IF(AND(R$4&gt;=$E43,R$4&lt;=$F43),"■","")</f>
        <v/>
      </c>
      <c r="S43" s="15" t="str">
        <f aca="false">IF(AND(S$4&gt;=$E43,S$4&lt;=$F43),"■","")</f>
        <v/>
      </c>
      <c r="T43" s="15" t="str">
        <f aca="false">IF(AND(T$4&gt;=$E43,T$4&lt;=$F43),"■","")</f>
        <v>■</v>
      </c>
      <c r="U43" s="15" t="str">
        <f aca="false">IF(AND(U$4&gt;=$E43,U$4&lt;=$F43),"■","")</f>
        <v/>
      </c>
      <c r="V43" s="15" t="str">
        <f aca="false">IF(AND(V$4&gt;=$E43,V$4&lt;=$F43),"■","")</f>
        <v/>
      </c>
      <c r="W43" s="15" t="str">
        <f aca="false">IF(AND(W$4&gt;=$E43,W$4&lt;=$F43),"■","")</f>
        <v/>
      </c>
    </row>
    <row r="44" customFormat="false" ht="30" hidden="false" customHeight="true" outlineLevel="0" collapsed="false">
      <c r="A44" s="9" t="s">
        <v>184</v>
      </c>
      <c r="B44" s="16" t="s">
        <v>55</v>
      </c>
      <c r="C44" s="11" t="s">
        <v>56</v>
      </c>
      <c r="D44" s="9" t="s">
        <v>185</v>
      </c>
      <c r="E44" s="12" t="n">
        <v>46307</v>
      </c>
      <c r="F44" s="12" t="n">
        <v>46308</v>
      </c>
      <c r="G44" s="9" t="n">
        <f aca="false">F44-E44+1</f>
        <v>2</v>
      </c>
      <c r="H44" s="11" t="s">
        <v>186</v>
      </c>
      <c r="I44" s="9" t="s">
        <v>187</v>
      </c>
      <c r="J44" s="13" t="s">
        <v>29</v>
      </c>
      <c r="K44" s="14" t="s">
        <v>30</v>
      </c>
      <c r="L44" s="17" t="str">
        <f aca="false">IF(AND(L$4&gt;=$E44,L$4&lt;=$F44),"■","")</f>
        <v/>
      </c>
      <c r="M44" s="17" t="str">
        <f aca="false">IF(AND(M$4&gt;=$E44,M$4&lt;=$F44),"■","")</f>
        <v/>
      </c>
      <c r="N44" s="17" t="str">
        <f aca="false">IF(AND(N$4&gt;=$E44,N$4&lt;=$F44),"■","")</f>
        <v/>
      </c>
      <c r="O44" s="17" t="str">
        <f aca="false">IF(AND(O$4&gt;=$E44,O$4&lt;=$F44),"■","")</f>
        <v/>
      </c>
      <c r="P44" s="17" t="str">
        <f aca="false">IF(AND(P$4&gt;=$E44,P$4&lt;=$F44),"■","")</f>
        <v/>
      </c>
      <c r="Q44" s="17" t="str">
        <f aca="false">IF(AND(Q$4&gt;=$E44,Q$4&lt;=$F44),"■","")</f>
        <v/>
      </c>
      <c r="R44" s="17" t="str">
        <f aca="false">IF(AND(R$4&gt;=$E44,R$4&lt;=$F44),"■","")</f>
        <v/>
      </c>
      <c r="S44" s="17" t="str">
        <f aca="false">IF(AND(S$4&gt;=$E44,S$4&lt;=$F44),"■","")</f>
        <v>■</v>
      </c>
      <c r="T44" s="17" t="str">
        <f aca="false">IF(AND(T$4&gt;=$E44,T$4&lt;=$F44),"■","")</f>
        <v>■</v>
      </c>
      <c r="U44" s="17" t="str">
        <f aca="false">IF(AND(U$4&gt;=$E44,U$4&lt;=$F44),"■","")</f>
        <v/>
      </c>
      <c r="V44" s="17" t="str">
        <f aca="false">IF(AND(V$4&gt;=$E44,V$4&lt;=$F44),"■","")</f>
        <v/>
      </c>
      <c r="W44" s="17" t="str">
        <f aca="false">IF(AND(W$4&gt;=$E44,W$4&lt;=$F44),"■","")</f>
        <v/>
      </c>
    </row>
    <row r="45" customFormat="false" ht="30" hidden="false" customHeight="true" outlineLevel="0" collapsed="false">
      <c r="A45" s="9" t="s">
        <v>188</v>
      </c>
      <c r="B45" s="16" t="s">
        <v>55</v>
      </c>
      <c r="C45" s="11" t="s">
        <v>189</v>
      </c>
      <c r="D45" s="9" t="s">
        <v>190</v>
      </c>
      <c r="E45" s="12" t="n">
        <v>46306</v>
      </c>
      <c r="F45" s="12" t="n">
        <v>46307</v>
      </c>
      <c r="G45" s="9" t="n">
        <f aca="false">F45-E45+1</f>
        <v>2</v>
      </c>
      <c r="H45" s="11" t="s">
        <v>191</v>
      </c>
      <c r="I45" s="9" t="s">
        <v>192</v>
      </c>
      <c r="J45" s="13" t="s">
        <v>29</v>
      </c>
      <c r="K45" s="14" t="s">
        <v>30</v>
      </c>
      <c r="L45" s="17" t="str">
        <f aca="false">IF(AND(L$4&gt;=$E45,L$4&lt;=$F45),"■","")</f>
        <v/>
      </c>
      <c r="M45" s="17" t="str">
        <f aca="false">IF(AND(M$4&gt;=$E45,M$4&lt;=$F45),"■","")</f>
        <v/>
      </c>
      <c r="N45" s="17" t="str">
        <f aca="false">IF(AND(N$4&gt;=$E45,N$4&lt;=$F45),"■","")</f>
        <v/>
      </c>
      <c r="O45" s="17" t="str">
        <f aca="false">IF(AND(O$4&gt;=$E45,O$4&lt;=$F45),"■","")</f>
        <v/>
      </c>
      <c r="P45" s="17" t="str">
        <f aca="false">IF(AND(P$4&gt;=$E45,P$4&lt;=$F45),"■","")</f>
        <v/>
      </c>
      <c r="Q45" s="17" t="str">
        <f aca="false">IF(AND(Q$4&gt;=$E45,Q$4&lt;=$F45),"■","")</f>
        <v/>
      </c>
      <c r="R45" s="17" t="str">
        <f aca="false">IF(AND(R$4&gt;=$E45,R$4&lt;=$F45),"■","")</f>
        <v>■</v>
      </c>
      <c r="S45" s="17" t="str">
        <f aca="false">IF(AND(S$4&gt;=$E45,S$4&lt;=$F45),"■","")</f>
        <v>■</v>
      </c>
      <c r="T45" s="17" t="str">
        <f aca="false">IF(AND(T$4&gt;=$E45,T$4&lt;=$F45),"■","")</f>
        <v/>
      </c>
      <c r="U45" s="17" t="str">
        <f aca="false">IF(AND(U$4&gt;=$E45,U$4&lt;=$F45),"■","")</f>
        <v/>
      </c>
      <c r="V45" s="17" t="str">
        <f aca="false">IF(AND(V$4&gt;=$E45,V$4&lt;=$F45),"■","")</f>
        <v/>
      </c>
      <c r="W45" s="17" t="str">
        <f aca="false">IF(AND(W$4&gt;=$E45,W$4&lt;=$F45),"■","")</f>
        <v/>
      </c>
    </row>
    <row r="46" customFormat="false" ht="30" hidden="false" customHeight="true" outlineLevel="0" collapsed="false">
      <c r="A46" s="9" t="s">
        <v>193</v>
      </c>
      <c r="B46" s="16" t="s">
        <v>55</v>
      </c>
      <c r="C46" s="11" t="s">
        <v>56</v>
      </c>
      <c r="D46" s="9" t="s">
        <v>194</v>
      </c>
      <c r="E46" s="12" t="n">
        <v>46307</v>
      </c>
      <c r="F46" s="12" t="n">
        <v>46309</v>
      </c>
      <c r="G46" s="9" t="n">
        <f aca="false">F46-E46+1</f>
        <v>3</v>
      </c>
      <c r="H46" s="11" t="s">
        <v>195</v>
      </c>
      <c r="I46" s="9" t="s">
        <v>196</v>
      </c>
      <c r="J46" s="13" t="s">
        <v>29</v>
      </c>
      <c r="K46" s="14" t="s">
        <v>30</v>
      </c>
      <c r="L46" s="17" t="str">
        <f aca="false">IF(AND(L$4&gt;=$E46,L$4&lt;=$F46),"■","")</f>
        <v/>
      </c>
      <c r="M46" s="17" t="str">
        <f aca="false">IF(AND(M$4&gt;=$E46,M$4&lt;=$F46),"■","")</f>
        <v/>
      </c>
      <c r="N46" s="17" t="str">
        <f aca="false">IF(AND(N$4&gt;=$E46,N$4&lt;=$F46),"■","")</f>
        <v/>
      </c>
      <c r="O46" s="17" t="str">
        <f aca="false">IF(AND(O$4&gt;=$E46,O$4&lt;=$F46),"■","")</f>
        <v/>
      </c>
      <c r="P46" s="17" t="str">
        <f aca="false">IF(AND(P$4&gt;=$E46,P$4&lt;=$F46),"■","")</f>
        <v/>
      </c>
      <c r="Q46" s="17" t="str">
        <f aca="false">IF(AND(Q$4&gt;=$E46,Q$4&lt;=$F46),"■","")</f>
        <v/>
      </c>
      <c r="R46" s="17" t="str">
        <f aca="false">IF(AND(R$4&gt;=$E46,R$4&lt;=$F46),"■","")</f>
        <v/>
      </c>
      <c r="S46" s="17" t="str">
        <f aca="false">IF(AND(S$4&gt;=$E46,S$4&lt;=$F46),"■","")</f>
        <v>■</v>
      </c>
      <c r="T46" s="17" t="str">
        <f aca="false">IF(AND(T$4&gt;=$E46,T$4&lt;=$F46),"■","")</f>
        <v>■</v>
      </c>
      <c r="U46" s="17" t="str">
        <f aca="false">IF(AND(U$4&gt;=$E46,U$4&lt;=$F46),"■","")</f>
        <v>■</v>
      </c>
      <c r="V46" s="17" t="str">
        <f aca="false">IF(AND(V$4&gt;=$E46,V$4&lt;=$F46),"■","")</f>
        <v/>
      </c>
      <c r="W46" s="17" t="str">
        <f aca="false">IF(AND(W$4&gt;=$E46,W$4&lt;=$F46),"■","")</f>
        <v/>
      </c>
    </row>
    <row r="47" customFormat="false" ht="30" hidden="false" customHeight="true" outlineLevel="0" collapsed="false">
      <c r="A47" s="9" t="s">
        <v>197</v>
      </c>
      <c r="B47" s="18" t="s">
        <v>89</v>
      </c>
      <c r="C47" s="11" t="s">
        <v>90</v>
      </c>
      <c r="D47" s="11" t="s">
        <v>198</v>
      </c>
      <c r="E47" s="12" t="n">
        <v>46306</v>
      </c>
      <c r="F47" s="12" t="n">
        <v>46306</v>
      </c>
      <c r="G47" s="9" t="n">
        <f aca="false">F47-E47+1</f>
        <v>1</v>
      </c>
      <c r="H47" s="11" t="s">
        <v>199</v>
      </c>
      <c r="I47" s="9" t="s">
        <v>200</v>
      </c>
      <c r="J47" s="13" t="s">
        <v>29</v>
      </c>
      <c r="K47" s="14" t="s">
        <v>30</v>
      </c>
      <c r="L47" s="19" t="str">
        <f aca="false">IF(AND(L$4&gt;=$E47,L$4&lt;=$F47),"■","")</f>
        <v/>
      </c>
      <c r="M47" s="19" t="str">
        <f aca="false">IF(AND(M$4&gt;=$E47,M$4&lt;=$F47),"■","")</f>
        <v/>
      </c>
      <c r="N47" s="19" t="str">
        <f aca="false">IF(AND(N$4&gt;=$E47,N$4&lt;=$F47),"■","")</f>
        <v/>
      </c>
      <c r="O47" s="19" t="str">
        <f aca="false">IF(AND(O$4&gt;=$E47,O$4&lt;=$F47),"■","")</f>
        <v/>
      </c>
      <c r="P47" s="19" t="str">
        <f aca="false">IF(AND(P$4&gt;=$E47,P$4&lt;=$F47),"■","")</f>
        <v/>
      </c>
      <c r="Q47" s="19" t="str">
        <f aca="false">IF(AND(Q$4&gt;=$E47,Q$4&lt;=$F47),"■","")</f>
        <v/>
      </c>
      <c r="R47" s="19" t="str">
        <f aca="false">IF(AND(R$4&gt;=$E47,R$4&lt;=$F47),"■","")</f>
        <v>■</v>
      </c>
      <c r="S47" s="19" t="str">
        <f aca="false">IF(AND(S$4&gt;=$E47,S$4&lt;=$F47),"■","")</f>
        <v/>
      </c>
      <c r="T47" s="19" t="str">
        <f aca="false">IF(AND(T$4&gt;=$E47,T$4&lt;=$F47),"■","")</f>
        <v/>
      </c>
      <c r="U47" s="19" t="str">
        <f aca="false">IF(AND(U$4&gt;=$E47,U$4&lt;=$F47),"■","")</f>
        <v/>
      </c>
      <c r="V47" s="19" t="str">
        <f aca="false">IF(AND(V$4&gt;=$E47,V$4&lt;=$F47),"■","")</f>
        <v/>
      </c>
      <c r="W47" s="19" t="str">
        <f aca="false">IF(AND(W$4&gt;=$E47,W$4&lt;=$F47),"■","")</f>
        <v/>
      </c>
    </row>
    <row r="48" customFormat="false" ht="30" hidden="false" customHeight="true" outlineLevel="0" collapsed="false">
      <c r="A48" s="9" t="s">
        <v>201</v>
      </c>
      <c r="B48" s="18" t="s">
        <v>89</v>
      </c>
      <c r="C48" s="11" t="s">
        <v>90</v>
      </c>
      <c r="D48" s="11" t="s">
        <v>202</v>
      </c>
      <c r="E48" s="12" t="n">
        <v>46307</v>
      </c>
      <c r="F48" s="12" t="n">
        <v>46307</v>
      </c>
      <c r="G48" s="9" t="n">
        <f aca="false">F48-E48+1</f>
        <v>1</v>
      </c>
      <c r="H48" s="11" t="s">
        <v>203</v>
      </c>
      <c r="I48" s="9" t="s">
        <v>204</v>
      </c>
      <c r="J48" s="13" t="s">
        <v>29</v>
      </c>
      <c r="K48" s="14" t="s">
        <v>30</v>
      </c>
      <c r="L48" s="19" t="str">
        <f aca="false">IF(AND(L$4&gt;=$E48,L$4&lt;=$F48),"■","")</f>
        <v/>
      </c>
      <c r="M48" s="19" t="str">
        <f aca="false">IF(AND(M$4&gt;=$E48,M$4&lt;=$F48),"■","")</f>
        <v/>
      </c>
      <c r="N48" s="19" t="str">
        <f aca="false">IF(AND(N$4&gt;=$E48,N$4&lt;=$F48),"■","")</f>
        <v/>
      </c>
      <c r="O48" s="19" t="str">
        <f aca="false">IF(AND(O$4&gt;=$E48,O$4&lt;=$F48),"■","")</f>
        <v/>
      </c>
      <c r="P48" s="19" t="str">
        <f aca="false">IF(AND(P$4&gt;=$E48,P$4&lt;=$F48),"■","")</f>
        <v/>
      </c>
      <c r="Q48" s="19" t="str">
        <f aca="false">IF(AND(Q$4&gt;=$E48,Q$4&lt;=$F48),"■","")</f>
        <v/>
      </c>
      <c r="R48" s="19" t="str">
        <f aca="false">IF(AND(R$4&gt;=$E48,R$4&lt;=$F48),"■","")</f>
        <v/>
      </c>
      <c r="S48" s="19" t="str">
        <f aca="false">IF(AND(S$4&gt;=$E48,S$4&lt;=$F48),"■","")</f>
        <v>■</v>
      </c>
      <c r="T48" s="19" t="str">
        <f aca="false">IF(AND(T$4&gt;=$E48,T$4&lt;=$F48),"■","")</f>
        <v/>
      </c>
      <c r="U48" s="19" t="str">
        <f aca="false">IF(AND(U$4&gt;=$E48,U$4&lt;=$F48),"■","")</f>
        <v/>
      </c>
      <c r="V48" s="19" t="str">
        <f aca="false">IF(AND(V$4&gt;=$E48,V$4&lt;=$F48),"■","")</f>
        <v/>
      </c>
      <c r="W48" s="19" t="str">
        <f aca="false">IF(AND(W$4&gt;=$E48,W$4&lt;=$F48),"■","")</f>
        <v/>
      </c>
    </row>
    <row r="49" customFormat="false" ht="30" hidden="false" customHeight="true" outlineLevel="0" collapsed="false">
      <c r="A49" s="9" t="s">
        <v>205</v>
      </c>
      <c r="B49" s="18" t="s">
        <v>89</v>
      </c>
      <c r="C49" s="11" t="s">
        <v>90</v>
      </c>
      <c r="D49" s="11" t="s">
        <v>206</v>
      </c>
      <c r="E49" s="12" t="n">
        <v>46307</v>
      </c>
      <c r="F49" s="12" t="n">
        <v>46308</v>
      </c>
      <c r="G49" s="9" t="n">
        <f aca="false">F49-E49+1</f>
        <v>2</v>
      </c>
      <c r="H49" s="11" t="s">
        <v>207</v>
      </c>
      <c r="I49" s="9" t="s">
        <v>208</v>
      </c>
      <c r="J49" s="13" t="s">
        <v>29</v>
      </c>
      <c r="K49" s="14" t="s">
        <v>30</v>
      </c>
      <c r="L49" s="19" t="str">
        <f aca="false">IF(AND(L$4&gt;=$E49,L$4&lt;=$F49),"■","")</f>
        <v/>
      </c>
      <c r="M49" s="19" t="str">
        <f aca="false">IF(AND(M$4&gt;=$E49,M$4&lt;=$F49),"■","")</f>
        <v/>
      </c>
      <c r="N49" s="19" t="str">
        <f aca="false">IF(AND(N$4&gt;=$E49,N$4&lt;=$F49),"■","")</f>
        <v/>
      </c>
      <c r="O49" s="19" t="str">
        <f aca="false">IF(AND(O$4&gt;=$E49,O$4&lt;=$F49),"■","")</f>
        <v/>
      </c>
      <c r="P49" s="19" t="str">
        <f aca="false">IF(AND(P$4&gt;=$E49,P$4&lt;=$F49),"■","")</f>
        <v/>
      </c>
      <c r="Q49" s="19" t="str">
        <f aca="false">IF(AND(Q$4&gt;=$E49,Q$4&lt;=$F49),"■","")</f>
        <v/>
      </c>
      <c r="R49" s="19" t="str">
        <f aca="false">IF(AND(R$4&gt;=$E49,R$4&lt;=$F49),"■","")</f>
        <v/>
      </c>
      <c r="S49" s="19" t="str">
        <f aca="false">IF(AND(S$4&gt;=$E49,S$4&lt;=$F49),"■","")</f>
        <v>■</v>
      </c>
      <c r="T49" s="19" t="str">
        <f aca="false">IF(AND(T$4&gt;=$E49,T$4&lt;=$F49),"■","")</f>
        <v>■</v>
      </c>
      <c r="U49" s="19" t="str">
        <f aca="false">IF(AND(U$4&gt;=$E49,U$4&lt;=$F49),"■","")</f>
        <v/>
      </c>
      <c r="V49" s="19" t="str">
        <f aca="false">IF(AND(V$4&gt;=$E49,V$4&lt;=$F49),"■","")</f>
        <v/>
      </c>
      <c r="W49" s="19" t="str">
        <f aca="false">IF(AND(W$4&gt;=$E49,W$4&lt;=$F49),"■","")</f>
        <v/>
      </c>
    </row>
    <row r="50" customFormat="false" ht="30" hidden="false" customHeight="true" outlineLevel="0" collapsed="false">
      <c r="A50" s="9" t="s">
        <v>209</v>
      </c>
      <c r="B50" s="18" t="s">
        <v>89</v>
      </c>
      <c r="C50" s="11" t="s">
        <v>90</v>
      </c>
      <c r="D50" s="11" t="s">
        <v>210</v>
      </c>
      <c r="E50" s="12" t="n">
        <v>46308</v>
      </c>
      <c r="F50" s="12" t="n">
        <v>46308</v>
      </c>
      <c r="G50" s="9" t="n">
        <f aca="false">F50-E50+1</f>
        <v>1</v>
      </c>
      <c r="H50" s="11" t="s">
        <v>211</v>
      </c>
      <c r="I50" s="9" t="s">
        <v>212</v>
      </c>
      <c r="J50" s="13" t="s">
        <v>29</v>
      </c>
      <c r="K50" s="14" t="s">
        <v>30</v>
      </c>
      <c r="L50" s="19" t="str">
        <f aca="false">IF(AND(L$4&gt;=$E50,L$4&lt;=$F50),"■","")</f>
        <v/>
      </c>
      <c r="M50" s="19" t="str">
        <f aca="false">IF(AND(M$4&gt;=$E50,M$4&lt;=$F50),"■","")</f>
        <v/>
      </c>
      <c r="N50" s="19" t="str">
        <f aca="false">IF(AND(N$4&gt;=$E50,N$4&lt;=$F50),"■","")</f>
        <v/>
      </c>
      <c r="O50" s="19" t="str">
        <f aca="false">IF(AND(O$4&gt;=$E50,O$4&lt;=$F50),"■","")</f>
        <v/>
      </c>
      <c r="P50" s="19" t="str">
        <f aca="false">IF(AND(P$4&gt;=$E50,P$4&lt;=$F50),"■","")</f>
        <v/>
      </c>
      <c r="Q50" s="19" t="str">
        <f aca="false">IF(AND(Q$4&gt;=$E50,Q$4&lt;=$F50),"■","")</f>
        <v/>
      </c>
      <c r="R50" s="19" t="str">
        <f aca="false">IF(AND(R$4&gt;=$E50,R$4&lt;=$F50),"■","")</f>
        <v/>
      </c>
      <c r="S50" s="19" t="str">
        <f aca="false">IF(AND(S$4&gt;=$E50,S$4&lt;=$F50),"■","")</f>
        <v/>
      </c>
      <c r="T50" s="19" t="str">
        <f aca="false">IF(AND(T$4&gt;=$E50,T$4&lt;=$F50),"■","")</f>
        <v>■</v>
      </c>
      <c r="U50" s="19" t="str">
        <f aca="false">IF(AND(U$4&gt;=$E50,U$4&lt;=$F50),"■","")</f>
        <v/>
      </c>
      <c r="V50" s="19" t="str">
        <f aca="false">IF(AND(V$4&gt;=$E50,V$4&lt;=$F50),"■","")</f>
        <v/>
      </c>
      <c r="W50" s="19" t="str">
        <f aca="false">IF(AND(W$4&gt;=$E50,W$4&lt;=$F50),"■","")</f>
        <v/>
      </c>
    </row>
    <row r="51" customFormat="false" ht="30" hidden="false" customHeight="true" outlineLevel="0" collapsed="false">
      <c r="A51" s="9" t="s">
        <v>213</v>
      </c>
      <c r="B51" s="18" t="s">
        <v>89</v>
      </c>
      <c r="C51" s="11" t="s">
        <v>90</v>
      </c>
      <c r="D51" s="11" t="s">
        <v>214</v>
      </c>
      <c r="E51" s="12" t="n">
        <v>46307</v>
      </c>
      <c r="F51" s="12" t="n">
        <v>46307</v>
      </c>
      <c r="G51" s="9" t="n">
        <f aca="false">F51-E51+1</f>
        <v>1</v>
      </c>
      <c r="H51" s="11" t="s">
        <v>215</v>
      </c>
      <c r="I51" s="9" t="s">
        <v>216</v>
      </c>
      <c r="J51" s="13" t="s">
        <v>29</v>
      </c>
      <c r="K51" s="14" t="s">
        <v>30</v>
      </c>
      <c r="L51" s="19" t="str">
        <f aca="false">IF(AND(L$4&gt;=$E51,L$4&lt;=$F51),"■","")</f>
        <v/>
      </c>
      <c r="M51" s="19" t="str">
        <f aca="false">IF(AND(M$4&gt;=$E51,M$4&lt;=$F51),"■","")</f>
        <v/>
      </c>
      <c r="N51" s="19" t="str">
        <f aca="false">IF(AND(N$4&gt;=$E51,N$4&lt;=$F51),"■","")</f>
        <v/>
      </c>
      <c r="O51" s="19" t="str">
        <f aca="false">IF(AND(O$4&gt;=$E51,O$4&lt;=$F51),"■","")</f>
        <v/>
      </c>
      <c r="P51" s="19" t="str">
        <f aca="false">IF(AND(P$4&gt;=$E51,P$4&lt;=$F51),"■","")</f>
        <v/>
      </c>
      <c r="Q51" s="19" t="str">
        <f aca="false">IF(AND(Q$4&gt;=$E51,Q$4&lt;=$F51),"■","")</f>
        <v/>
      </c>
      <c r="R51" s="19" t="str">
        <f aca="false">IF(AND(R$4&gt;=$E51,R$4&lt;=$F51),"■","")</f>
        <v/>
      </c>
      <c r="S51" s="19" t="str">
        <f aca="false">IF(AND(S$4&gt;=$E51,S$4&lt;=$F51),"■","")</f>
        <v>■</v>
      </c>
      <c r="T51" s="19" t="str">
        <f aca="false">IF(AND(T$4&gt;=$E51,T$4&lt;=$F51),"■","")</f>
        <v/>
      </c>
      <c r="U51" s="19" t="str">
        <f aca="false">IF(AND(U$4&gt;=$E51,U$4&lt;=$F51),"■","")</f>
        <v/>
      </c>
      <c r="V51" s="19" t="str">
        <f aca="false">IF(AND(V$4&gt;=$E51,V$4&lt;=$F51),"■","")</f>
        <v/>
      </c>
      <c r="W51" s="19" t="str">
        <f aca="false">IF(AND(W$4&gt;=$E51,W$4&lt;=$F51),"■","")</f>
        <v/>
      </c>
    </row>
    <row r="52" customFormat="false" ht="30" hidden="false" customHeight="true" outlineLevel="0" collapsed="false">
      <c r="A52" s="9" t="s">
        <v>217</v>
      </c>
      <c r="B52" s="18" t="s">
        <v>89</v>
      </c>
      <c r="C52" s="11" t="s">
        <v>90</v>
      </c>
      <c r="D52" s="11" t="s">
        <v>218</v>
      </c>
      <c r="E52" s="12" t="n">
        <v>46308</v>
      </c>
      <c r="F52" s="12" t="n">
        <v>46309</v>
      </c>
      <c r="G52" s="9" t="n">
        <f aca="false">F52-E52+1</f>
        <v>2</v>
      </c>
      <c r="H52" s="11" t="s">
        <v>219</v>
      </c>
      <c r="I52" s="9" t="s">
        <v>220</v>
      </c>
      <c r="J52" s="13" t="s">
        <v>29</v>
      </c>
      <c r="K52" s="14" t="s">
        <v>30</v>
      </c>
      <c r="L52" s="19" t="str">
        <f aca="false">IF(AND(L$4&gt;=$E52,L$4&lt;=$F52),"■","")</f>
        <v/>
      </c>
      <c r="M52" s="19" t="str">
        <f aca="false">IF(AND(M$4&gt;=$E52,M$4&lt;=$F52),"■","")</f>
        <v/>
      </c>
      <c r="N52" s="19" t="str">
        <f aca="false">IF(AND(N$4&gt;=$E52,N$4&lt;=$F52),"■","")</f>
        <v/>
      </c>
      <c r="O52" s="19" t="str">
        <f aca="false">IF(AND(O$4&gt;=$E52,O$4&lt;=$F52),"■","")</f>
        <v/>
      </c>
      <c r="P52" s="19" t="str">
        <f aca="false">IF(AND(P$4&gt;=$E52,P$4&lt;=$F52),"■","")</f>
        <v/>
      </c>
      <c r="Q52" s="19" t="str">
        <f aca="false">IF(AND(Q$4&gt;=$E52,Q$4&lt;=$F52),"■","")</f>
        <v/>
      </c>
      <c r="R52" s="19" t="str">
        <f aca="false">IF(AND(R$4&gt;=$E52,R$4&lt;=$F52),"■","")</f>
        <v/>
      </c>
      <c r="S52" s="19" t="str">
        <f aca="false">IF(AND(S$4&gt;=$E52,S$4&lt;=$F52),"■","")</f>
        <v/>
      </c>
      <c r="T52" s="19" t="str">
        <f aca="false">IF(AND(T$4&gt;=$E52,T$4&lt;=$F52),"■","")</f>
        <v>■</v>
      </c>
      <c r="U52" s="19" t="str">
        <f aca="false">IF(AND(U$4&gt;=$E52,U$4&lt;=$F52),"■","")</f>
        <v>■</v>
      </c>
      <c r="V52" s="19" t="str">
        <f aca="false">IF(AND(V$4&gt;=$E52,V$4&lt;=$F52),"■","")</f>
        <v/>
      </c>
      <c r="W52" s="19" t="str">
        <f aca="false">IF(AND(W$4&gt;=$E52,W$4&lt;=$F52),"■","")</f>
        <v/>
      </c>
    </row>
    <row r="53" customFormat="false" ht="30" hidden="false" customHeight="true" outlineLevel="0" collapsed="false">
      <c r="A53" s="9" t="s">
        <v>221</v>
      </c>
      <c r="B53" s="18" t="s">
        <v>89</v>
      </c>
      <c r="C53" s="11" t="s">
        <v>90</v>
      </c>
      <c r="D53" s="11" t="s">
        <v>222</v>
      </c>
      <c r="E53" s="12" t="n">
        <v>46308</v>
      </c>
      <c r="F53" s="12" t="n">
        <v>46308</v>
      </c>
      <c r="G53" s="9" t="n">
        <f aca="false">F53-E53+1</f>
        <v>1</v>
      </c>
      <c r="H53" s="11" t="s">
        <v>223</v>
      </c>
      <c r="I53" s="9" t="s">
        <v>224</v>
      </c>
      <c r="J53" s="13" t="s">
        <v>29</v>
      </c>
      <c r="K53" s="14" t="s">
        <v>30</v>
      </c>
      <c r="L53" s="19" t="str">
        <f aca="false">IF(AND(L$4&gt;=$E53,L$4&lt;=$F53),"■","")</f>
        <v/>
      </c>
      <c r="M53" s="19" t="str">
        <f aca="false">IF(AND(M$4&gt;=$E53,M$4&lt;=$F53),"■","")</f>
        <v/>
      </c>
      <c r="N53" s="19" t="str">
        <f aca="false">IF(AND(N$4&gt;=$E53,N$4&lt;=$F53),"■","")</f>
        <v/>
      </c>
      <c r="O53" s="19" t="str">
        <f aca="false">IF(AND(O$4&gt;=$E53,O$4&lt;=$F53),"■","")</f>
        <v/>
      </c>
      <c r="P53" s="19" t="str">
        <f aca="false">IF(AND(P$4&gt;=$E53,P$4&lt;=$F53),"■","")</f>
        <v/>
      </c>
      <c r="Q53" s="19" t="str">
        <f aca="false">IF(AND(Q$4&gt;=$E53,Q$4&lt;=$F53),"■","")</f>
        <v/>
      </c>
      <c r="R53" s="19" t="str">
        <f aca="false">IF(AND(R$4&gt;=$E53,R$4&lt;=$F53),"■","")</f>
        <v/>
      </c>
      <c r="S53" s="19" t="str">
        <f aca="false">IF(AND(S$4&gt;=$E53,S$4&lt;=$F53),"■","")</f>
        <v/>
      </c>
      <c r="T53" s="19" t="str">
        <f aca="false">IF(AND(T$4&gt;=$E53,T$4&lt;=$F53),"■","")</f>
        <v>■</v>
      </c>
      <c r="U53" s="19" t="str">
        <f aca="false">IF(AND(U$4&gt;=$E53,U$4&lt;=$F53),"■","")</f>
        <v/>
      </c>
      <c r="V53" s="19" t="str">
        <f aca="false">IF(AND(V$4&gt;=$E53,V$4&lt;=$F53),"■","")</f>
        <v/>
      </c>
      <c r="W53" s="19" t="str">
        <f aca="false">IF(AND(W$4&gt;=$E53,W$4&lt;=$F53),"■","")</f>
        <v/>
      </c>
    </row>
    <row r="54" customFormat="false" ht="30" hidden="false" customHeight="true" outlineLevel="0" collapsed="false">
      <c r="A54" s="9" t="s">
        <v>225</v>
      </c>
      <c r="B54" s="18" t="s">
        <v>89</v>
      </c>
      <c r="C54" s="11" t="s">
        <v>90</v>
      </c>
      <c r="D54" s="11" t="s">
        <v>226</v>
      </c>
      <c r="E54" s="12" t="n">
        <v>46308</v>
      </c>
      <c r="F54" s="12" t="n">
        <v>46309</v>
      </c>
      <c r="G54" s="9" t="n">
        <f aca="false">F54-E54+1</f>
        <v>2</v>
      </c>
      <c r="H54" s="11" t="s">
        <v>227</v>
      </c>
      <c r="I54" s="9" t="s">
        <v>228</v>
      </c>
      <c r="J54" s="13" t="s">
        <v>29</v>
      </c>
      <c r="K54" s="14" t="s">
        <v>30</v>
      </c>
      <c r="L54" s="19" t="str">
        <f aca="false">IF(AND(L$4&gt;=$E54,L$4&lt;=$F54),"■","")</f>
        <v/>
      </c>
      <c r="M54" s="19" t="str">
        <f aca="false">IF(AND(M$4&gt;=$E54,M$4&lt;=$F54),"■","")</f>
        <v/>
      </c>
      <c r="N54" s="19" t="str">
        <f aca="false">IF(AND(N$4&gt;=$E54,N$4&lt;=$F54),"■","")</f>
        <v/>
      </c>
      <c r="O54" s="19" t="str">
        <f aca="false">IF(AND(O$4&gt;=$E54,O$4&lt;=$F54),"■","")</f>
        <v/>
      </c>
      <c r="P54" s="19" t="str">
        <f aca="false">IF(AND(P$4&gt;=$E54,P$4&lt;=$F54),"■","")</f>
        <v/>
      </c>
      <c r="Q54" s="19" t="str">
        <f aca="false">IF(AND(Q$4&gt;=$E54,Q$4&lt;=$F54),"■","")</f>
        <v/>
      </c>
      <c r="R54" s="19" t="str">
        <f aca="false">IF(AND(R$4&gt;=$E54,R$4&lt;=$F54),"■","")</f>
        <v/>
      </c>
      <c r="S54" s="19" t="str">
        <f aca="false">IF(AND(S$4&gt;=$E54,S$4&lt;=$F54),"■","")</f>
        <v/>
      </c>
      <c r="T54" s="19" t="str">
        <f aca="false">IF(AND(T$4&gt;=$E54,T$4&lt;=$F54),"■","")</f>
        <v>■</v>
      </c>
      <c r="U54" s="19" t="str">
        <f aca="false">IF(AND(U$4&gt;=$E54,U$4&lt;=$F54),"■","")</f>
        <v>■</v>
      </c>
      <c r="V54" s="19" t="str">
        <f aca="false">IF(AND(V$4&gt;=$E54,V$4&lt;=$F54),"■","")</f>
        <v/>
      </c>
      <c r="W54" s="19" t="str">
        <f aca="false">IF(AND(W$4&gt;=$E54,W$4&lt;=$F54),"■","")</f>
        <v/>
      </c>
    </row>
    <row r="55" customFormat="false" ht="30" hidden="false" customHeight="true" outlineLevel="0" collapsed="false">
      <c r="A55" s="9" t="s">
        <v>229</v>
      </c>
      <c r="B55" s="20" t="s">
        <v>127</v>
      </c>
      <c r="C55" s="11" t="s">
        <v>128</v>
      </c>
      <c r="D55" s="11" t="s">
        <v>230</v>
      </c>
      <c r="E55" s="12" t="n">
        <v>46307</v>
      </c>
      <c r="F55" s="12" t="n">
        <v>46309</v>
      </c>
      <c r="G55" s="9" t="n">
        <f aca="false">F55-E55+1</f>
        <v>3</v>
      </c>
      <c r="H55" s="9" t="s">
        <v>231</v>
      </c>
      <c r="I55" s="9" t="s">
        <v>232</v>
      </c>
      <c r="J55" s="13" t="s">
        <v>29</v>
      </c>
      <c r="K55" s="14" t="s">
        <v>30</v>
      </c>
      <c r="L55" s="21" t="str">
        <f aca="false">IF(AND(L$4&gt;=$E55,L$4&lt;=$F55),"■","")</f>
        <v/>
      </c>
      <c r="M55" s="21" t="str">
        <f aca="false">IF(AND(M$4&gt;=$E55,M$4&lt;=$F55),"■","")</f>
        <v/>
      </c>
      <c r="N55" s="21" t="str">
        <f aca="false">IF(AND(N$4&gt;=$E55,N$4&lt;=$F55),"■","")</f>
        <v/>
      </c>
      <c r="O55" s="21" t="str">
        <f aca="false">IF(AND(O$4&gt;=$E55,O$4&lt;=$F55),"■","")</f>
        <v/>
      </c>
      <c r="P55" s="21" t="str">
        <f aca="false">IF(AND(P$4&gt;=$E55,P$4&lt;=$F55),"■","")</f>
        <v/>
      </c>
      <c r="Q55" s="21" t="str">
        <f aca="false">IF(AND(Q$4&gt;=$E55,Q$4&lt;=$F55),"■","")</f>
        <v/>
      </c>
      <c r="R55" s="21" t="str">
        <f aca="false">IF(AND(R$4&gt;=$E55,R$4&lt;=$F55),"■","")</f>
        <v/>
      </c>
      <c r="S55" s="21" t="str">
        <f aca="false">IF(AND(S$4&gt;=$E55,S$4&lt;=$F55),"■","")</f>
        <v>■</v>
      </c>
      <c r="T55" s="21" t="str">
        <f aca="false">IF(AND(T$4&gt;=$E55,T$4&lt;=$F55),"■","")</f>
        <v>■</v>
      </c>
      <c r="U55" s="21" t="str">
        <f aca="false">IF(AND(U$4&gt;=$E55,U$4&lt;=$F55),"■","")</f>
        <v>■</v>
      </c>
      <c r="V55" s="21" t="str">
        <f aca="false">IF(AND(V$4&gt;=$E55,V$4&lt;=$F55),"■","")</f>
        <v/>
      </c>
      <c r="W55" s="21" t="str">
        <f aca="false">IF(AND(W$4&gt;=$E55,W$4&lt;=$F55),"■","")</f>
        <v/>
      </c>
    </row>
    <row r="56" customFormat="false" ht="30" hidden="false" customHeight="true" outlineLevel="0" collapsed="false">
      <c r="A56" s="9" t="s">
        <v>233</v>
      </c>
      <c r="B56" s="20" t="s">
        <v>127</v>
      </c>
      <c r="C56" s="11" t="s">
        <v>128</v>
      </c>
      <c r="D56" s="11" t="s">
        <v>234</v>
      </c>
      <c r="E56" s="12" t="n">
        <v>46307</v>
      </c>
      <c r="F56" s="12" t="n">
        <v>46308</v>
      </c>
      <c r="G56" s="9" t="n">
        <f aca="false">F56-E56+1</f>
        <v>2</v>
      </c>
      <c r="H56" s="23" t="s">
        <v>235</v>
      </c>
      <c r="I56" s="9" t="s">
        <v>236</v>
      </c>
      <c r="J56" s="13" t="s">
        <v>29</v>
      </c>
      <c r="K56" s="14" t="s">
        <v>30</v>
      </c>
      <c r="L56" s="21" t="str">
        <f aca="false">IF(AND(L$4&gt;=$E56,L$4&lt;=$F56),"■","")</f>
        <v/>
      </c>
      <c r="M56" s="21" t="str">
        <f aca="false">IF(AND(M$4&gt;=$E56,M$4&lt;=$F56),"■","")</f>
        <v/>
      </c>
      <c r="N56" s="21" t="str">
        <f aca="false">IF(AND(N$4&gt;=$E56,N$4&lt;=$F56),"■","")</f>
        <v/>
      </c>
      <c r="O56" s="21" t="str">
        <f aca="false">IF(AND(O$4&gt;=$E56,O$4&lt;=$F56),"■","")</f>
        <v/>
      </c>
      <c r="P56" s="21" t="str">
        <f aca="false">IF(AND(P$4&gt;=$E56,P$4&lt;=$F56),"■","")</f>
        <v/>
      </c>
      <c r="Q56" s="21" t="str">
        <f aca="false">IF(AND(Q$4&gt;=$E56,Q$4&lt;=$F56),"■","")</f>
        <v/>
      </c>
      <c r="R56" s="21" t="str">
        <f aca="false">IF(AND(R$4&gt;=$E56,R$4&lt;=$F56),"■","")</f>
        <v/>
      </c>
      <c r="S56" s="21" t="str">
        <f aca="false">IF(AND(S$4&gt;=$E56,S$4&lt;=$F56),"■","")</f>
        <v>■</v>
      </c>
      <c r="T56" s="21" t="str">
        <f aca="false">IF(AND(T$4&gt;=$E56,T$4&lt;=$F56),"■","")</f>
        <v>■</v>
      </c>
      <c r="U56" s="21" t="str">
        <f aca="false">IF(AND(U$4&gt;=$E56,U$4&lt;=$F56),"■","")</f>
        <v/>
      </c>
      <c r="V56" s="21" t="str">
        <f aca="false">IF(AND(V$4&gt;=$E56,V$4&lt;=$F56),"■","")</f>
        <v/>
      </c>
      <c r="W56" s="21" t="str">
        <f aca="false">IF(AND(W$4&gt;=$E56,W$4&lt;=$F56),"■","")</f>
        <v/>
      </c>
    </row>
    <row r="57" customFormat="false" ht="30" hidden="false" customHeight="true" outlineLevel="0" collapsed="false">
      <c r="A57" s="9" t="s">
        <v>237</v>
      </c>
      <c r="B57" s="20" t="s">
        <v>127</v>
      </c>
      <c r="C57" s="11" t="s">
        <v>128</v>
      </c>
      <c r="D57" s="11" t="s">
        <v>238</v>
      </c>
      <c r="E57" s="12" t="n">
        <v>46307</v>
      </c>
      <c r="F57" s="12" t="n">
        <v>46309</v>
      </c>
      <c r="G57" s="9" t="n">
        <f aca="false">F57-E57+1</f>
        <v>3</v>
      </c>
      <c r="H57" s="23" t="s">
        <v>239</v>
      </c>
      <c r="I57" s="9" t="s">
        <v>240</v>
      </c>
      <c r="J57" s="13" t="s">
        <v>29</v>
      </c>
      <c r="K57" s="14" t="s">
        <v>30</v>
      </c>
      <c r="L57" s="21" t="str">
        <f aca="false">IF(AND(L$4&gt;=$E57,L$4&lt;=$F57),"■","")</f>
        <v/>
      </c>
      <c r="M57" s="21" t="str">
        <f aca="false">IF(AND(M$4&gt;=$E57,M$4&lt;=$F57),"■","")</f>
        <v/>
      </c>
      <c r="N57" s="21" t="str">
        <f aca="false">IF(AND(N$4&gt;=$E57,N$4&lt;=$F57),"■","")</f>
        <v/>
      </c>
      <c r="O57" s="21" t="str">
        <f aca="false">IF(AND(O$4&gt;=$E57,O$4&lt;=$F57),"■","")</f>
        <v/>
      </c>
      <c r="P57" s="21" t="str">
        <f aca="false">IF(AND(P$4&gt;=$E57,P$4&lt;=$F57),"■","")</f>
        <v/>
      </c>
      <c r="Q57" s="21" t="str">
        <f aca="false">IF(AND(Q$4&gt;=$E57,Q$4&lt;=$F57),"■","")</f>
        <v/>
      </c>
      <c r="R57" s="21" t="str">
        <f aca="false">IF(AND(R$4&gt;=$E57,R$4&lt;=$F57),"■","")</f>
        <v/>
      </c>
      <c r="S57" s="21" t="str">
        <f aca="false">IF(AND(S$4&gt;=$E57,S$4&lt;=$F57),"■","")</f>
        <v>■</v>
      </c>
      <c r="T57" s="21" t="str">
        <f aca="false">IF(AND(T$4&gt;=$E57,T$4&lt;=$F57),"■","")</f>
        <v>■</v>
      </c>
      <c r="U57" s="21" t="str">
        <f aca="false">IF(AND(U$4&gt;=$E57,U$4&lt;=$F57),"■","")</f>
        <v>■</v>
      </c>
      <c r="V57" s="21" t="str">
        <f aca="false">IF(AND(V$4&gt;=$E57,V$4&lt;=$F57),"■","")</f>
        <v/>
      </c>
      <c r="W57" s="21" t="str">
        <f aca="false">IF(AND(W$4&gt;=$E57,W$4&lt;=$F57),"■","")</f>
        <v/>
      </c>
    </row>
    <row r="58" customFormat="false" ht="30" hidden="false" customHeight="true" outlineLevel="0" collapsed="false">
      <c r="A58" s="9" t="s">
        <v>241</v>
      </c>
      <c r="B58" s="20" t="s">
        <v>127</v>
      </c>
      <c r="C58" s="11" t="s">
        <v>128</v>
      </c>
      <c r="D58" s="11" t="s">
        <v>242</v>
      </c>
      <c r="E58" s="12" t="n">
        <v>46308</v>
      </c>
      <c r="F58" s="12" t="n">
        <v>46309</v>
      </c>
      <c r="G58" s="9" t="n">
        <f aca="false">F58-E58+1</f>
        <v>2</v>
      </c>
      <c r="H58" s="23" t="s">
        <v>243</v>
      </c>
      <c r="I58" s="9" t="s">
        <v>244</v>
      </c>
      <c r="J58" s="13" t="s">
        <v>29</v>
      </c>
      <c r="K58" s="14" t="s">
        <v>30</v>
      </c>
      <c r="L58" s="21" t="str">
        <f aca="false">IF(AND(L$4&gt;=$E58,L$4&lt;=$F58),"■","")</f>
        <v/>
      </c>
      <c r="M58" s="21" t="str">
        <f aca="false">IF(AND(M$4&gt;=$E58,M$4&lt;=$F58),"■","")</f>
        <v/>
      </c>
      <c r="N58" s="21" t="str">
        <f aca="false">IF(AND(N$4&gt;=$E58,N$4&lt;=$F58),"■","")</f>
        <v/>
      </c>
      <c r="O58" s="21" t="str">
        <f aca="false">IF(AND(O$4&gt;=$E58,O$4&lt;=$F58),"■","")</f>
        <v/>
      </c>
      <c r="P58" s="21" t="str">
        <f aca="false">IF(AND(P$4&gt;=$E58,P$4&lt;=$F58),"■","")</f>
        <v/>
      </c>
      <c r="Q58" s="21" t="str">
        <f aca="false">IF(AND(Q$4&gt;=$E58,Q$4&lt;=$F58),"■","")</f>
        <v/>
      </c>
      <c r="R58" s="21" t="str">
        <f aca="false">IF(AND(R$4&gt;=$E58,R$4&lt;=$F58),"■","")</f>
        <v/>
      </c>
      <c r="S58" s="21" t="str">
        <f aca="false">IF(AND(S$4&gt;=$E58,S$4&lt;=$F58),"■","")</f>
        <v/>
      </c>
      <c r="T58" s="21" t="str">
        <f aca="false">IF(AND(T$4&gt;=$E58,T$4&lt;=$F58),"■","")</f>
        <v>■</v>
      </c>
      <c r="U58" s="21" t="str">
        <f aca="false">IF(AND(U$4&gt;=$E58,U$4&lt;=$F58),"■","")</f>
        <v>■</v>
      </c>
      <c r="V58" s="21" t="str">
        <f aca="false">IF(AND(V$4&gt;=$E58,V$4&lt;=$F58),"■","")</f>
        <v/>
      </c>
      <c r="W58" s="21" t="str">
        <f aca="false">IF(AND(W$4&gt;=$E58,W$4&lt;=$F58),"■","")</f>
        <v/>
      </c>
    </row>
    <row r="59" customFormat="false" ht="30" hidden="false" customHeight="true" outlineLevel="0" collapsed="false">
      <c r="A59" s="9" t="s">
        <v>245</v>
      </c>
      <c r="B59" s="13" t="s">
        <v>148</v>
      </c>
      <c r="C59" s="11" t="s">
        <v>246</v>
      </c>
      <c r="D59" s="11" t="s">
        <v>247</v>
      </c>
      <c r="E59" s="12" t="n">
        <v>46306</v>
      </c>
      <c r="F59" s="12" t="n">
        <v>46306</v>
      </c>
      <c r="G59" s="9" t="n">
        <f aca="false">F59-E59+1</f>
        <v>1</v>
      </c>
      <c r="H59" s="11" t="s">
        <v>248</v>
      </c>
      <c r="I59" s="9" t="s">
        <v>249</v>
      </c>
      <c r="J59" s="13" t="s">
        <v>29</v>
      </c>
      <c r="K59" s="14" t="s">
        <v>30</v>
      </c>
      <c r="L59" s="22" t="str">
        <f aca="false">IF(AND(L$4&gt;=$E59,L$4&lt;=$F59),"■","")</f>
        <v/>
      </c>
      <c r="M59" s="22" t="str">
        <f aca="false">IF(AND(M$4&gt;=$E59,M$4&lt;=$F59),"■","")</f>
        <v/>
      </c>
      <c r="N59" s="22" t="str">
        <f aca="false">IF(AND(N$4&gt;=$E59,N$4&lt;=$F59),"■","")</f>
        <v/>
      </c>
      <c r="O59" s="22" t="str">
        <f aca="false">IF(AND(O$4&gt;=$E59,O$4&lt;=$F59),"■","")</f>
        <v/>
      </c>
      <c r="P59" s="22" t="str">
        <f aca="false">IF(AND(P$4&gt;=$E59,P$4&lt;=$F59),"■","")</f>
        <v/>
      </c>
      <c r="Q59" s="22" t="str">
        <f aca="false">IF(AND(Q$4&gt;=$E59,Q$4&lt;=$F59),"■","")</f>
        <v/>
      </c>
      <c r="R59" s="22" t="str">
        <f aca="false">IF(AND(R$4&gt;=$E59,R$4&lt;=$F59),"■","")</f>
        <v>■</v>
      </c>
      <c r="S59" s="22" t="str">
        <f aca="false">IF(AND(S$4&gt;=$E59,S$4&lt;=$F59),"■","")</f>
        <v/>
      </c>
      <c r="T59" s="22" t="str">
        <f aca="false">IF(AND(T$4&gt;=$E59,T$4&lt;=$F59),"■","")</f>
        <v/>
      </c>
      <c r="U59" s="22" t="str">
        <f aca="false">IF(AND(U$4&gt;=$E59,U$4&lt;=$F59),"■","")</f>
        <v/>
      </c>
      <c r="V59" s="22" t="str">
        <f aca="false">IF(AND(V$4&gt;=$E59,V$4&lt;=$F59),"■","")</f>
        <v/>
      </c>
      <c r="W59" s="22" t="str">
        <f aca="false">IF(AND(W$4&gt;=$E59,W$4&lt;=$F59),"■","")</f>
        <v/>
      </c>
    </row>
    <row r="60" customFormat="false" ht="30" hidden="false" customHeight="true" outlineLevel="0" collapsed="false">
      <c r="A60" s="9" t="s">
        <v>250</v>
      </c>
      <c r="B60" s="13" t="s">
        <v>148</v>
      </c>
      <c r="C60" s="11" t="s">
        <v>149</v>
      </c>
      <c r="D60" s="11" t="s">
        <v>251</v>
      </c>
      <c r="E60" s="12" t="n">
        <v>46307</v>
      </c>
      <c r="F60" s="12" t="n">
        <v>46307</v>
      </c>
      <c r="G60" s="9" t="n">
        <f aca="false">F60-E60+1</f>
        <v>1</v>
      </c>
      <c r="H60" s="11" t="s">
        <v>252</v>
      </c>
      <c r="I60" s="9" t="s">
        <v>253</v>
      </c>
      <c r="J60" s="13" t="s">
        <v>29</v>
      </c>
      <c r="K60" s="14" t="s">
        <v>30</v>
      </c>
      <c r="L60" s="22" t="str">
        <f aca="false">IF(AND(L$4&gt;=$E60,L$4&lt;=$F60),"■","")</f>
        <v/>
      </c>
      <c r="M60" s="22" t="str">
        <f aca="false">IF(AND(M$4&gt;=$E60,M$4&lt;=$F60),"■","")</f>
        <v/>
      </c>
      <c r="N60" s="22" t="str">
        <f aca="false">IF(AND(N$4&gt;=$E60,N$4&lt;=$F60),"■","")</f>
        <v/>
      </c>
      <c r="O60" s="22" t="str">
        <f aca="false">IF(AND(O$4&gt;=$E60,O$4&lt;=$F60),"■","")</f>
        <v/>
      </c>
      <c r="P60" s="22" t="str">
        <f aca="false">IF(AND(P$4&gt;=$E60,P$4&lt;=$F60),"■","")</f>
        <v/>
      </c>
      <c r="Q60" s="22" t="str">
        <f aca="false">IF(AND(Q$4&gt;=$E60,Q$4&lt;=$F60),"■","")</f>
        <v/>
      </c>
      <c r="R60" s="22" t="str">
        <f aca="false">IF(AND(R$4&gt;=$E60,R$4&lt;=$F60),"■","")</f>
        <v/>
      </c>
      <c r="S60" s="22" t="str">
        <f aca="false">IF(AND(S$4&gt;=$E60,S$4&lt;=$F60),"■","")</f>
        <v>■</v>
      </c>
      <c r="T60" s="22" t="str">
        <f aca="false">IF(AND(T$4&gt;=$E60,T$4&lt;=$F60),"■","")</f>
        <v/>
      </c>
      <c r="U60" s="22" t="str">
        <f aca="false">IF(AND(U$4&gt;=$E60,U$4&lt;=$F60),"■","")</f>
        <v/>
      </c>
      <c r="V60" s="22" t="str">
        <f aca="false">IF(AND(V$4&gt;=$E60,V$4&lt;=$F60),"■","")</f>
        <v/>
      </c>
      <c r="W60" s="22" t="str">
        <f aca="false">IF(AND(W$4&gt;=$E60,W$4&lt;=$F60),"■","")</f>
        <v/>
      </c>
    </row>
    <row r="61" customFormat="false" ht="30" hidden="false" customHeight="true" outlineLevel="0" collapsed="false">
      <c r="A61" s="9" t="s">
        <v>254</v>
      </c>
      <c r="B61" s="13" t="s">
        <v>148</v>
      </c>
      <c r="C61" s="11" t="s">
        <v>149</v>
      </c>
      <c r="D61" s="11" t="s">
        <v>255</v>
      </c>
      <c r="E61" s="12" t="n">
        <v>46308</v>
      </c>
      <c r="F61" s="12" t="n">
        <v>46309</v>
      </c>
      <c r="G61" s="9" t="n">
        <f aca="false">F61-E61+1</f>
        <v>2</v>
      </c>
      <c r="H61" s="11" t="s">
        <v>256</v>
      </c>
      <c r="I61" s="9" t="s">
        <v>257</v>
      </c>
      <c r="J61" s="13" t="s">
        <v>29</v>
      </c>
      <c r="K61" s="14" t="s">
        <v>30</v>
      </c>
      <c r="L61" s="22" t="str">
        <f aca="false">IF(AND(L$4&gt;=$E61,L$4&lt;=$F61),"■","")</f>
        <v/>
      </c>
      <c r="M61" s="22" t="str">
        <f aca="false">IF(AND(M$4&gt;=$E61,M$4&lt;=$F61),"■","")</f>
        <v/>
      </c>
      <c r="N61" s="22" t="str">
        <f aca="false">IF(AND(N$4&gt;=$E61,N$4&lt;=$F61),"■","")</f>
        <v/>
      </c>
      <c r="O61" s="22" t="str">
        <f aca="false">IF(AND(O$4&gt;=$E61,O$4&lt;=$F61),"■","")</f>
        <v/>
      </c>
      <c r="P61" s="22" t="str">
        <f aca="false">IF(AND(P$4&gt;=$E61,P$4&lt;=$F61),"■","")</f>
        <v/>
      </c>
      <c r="Q61" s="22" t="str">
        <f aca="false">IF(AND(Q$4&gt;=$E61,Q$4&lt;=$F61),"■","")</f>
        <v/>
      </c>
      <c r="R61" s="22" t="str">
        <f aca="false">IF(AND(R$4&gt;=$E61,R$4&lt;=$F61),"■","")</f>
        <v/>
      </c>
      <c r="S61" s="22" t="str">
        <f aca="false">IF(AND(S$4&gt;=$E61,S$4&lt;=$F61),"■","")</f>
        <v/>
      </c>
      <c r="T61" s="22" t="str">
        <f aca="false">IF(AND(T$4&gt;=$E61,T$4&lt;=$F61),"■","")</f>
        <v>■</v>
      </c>
      <c r="U61" s="22" t="str">
        <f aca="false">IF(AND(U$4&gt;=$E61,U$4&lt;=$F61),"■","")</f>
        <v>■</v>
      </c>
      <c r="V61" s="22" t="str">
        <f aca="false">IF(AND(V$4&gt;=$E61,V$4&lt;=$F61),"■","")</f>
        <v/>
      </c>
      <c r="W61" s="22" t="str">
        <f aca="false">IF(AND(W$4&gt;=$E61,W$4&lt;=$F61),"■","")</f>
        <v/>
      </c>
    </row>
    <row r="62" customFormat="false" ht="30" hidden="false" customHeight="true" outlineLevel="0" collapsed="false">
      <c r="A62" s="9" t="s">
        <v>258</v>
      </c>
      <c r="B62" s="13" t="s">
        <v>148</v>
      </c>
      <c r="C62" s="11" t="s">
        <v>149</v>
      </c>
      <c r="D62" s="11" t="s">
        <v>259</v>
      </c>
      <c r="E62" s="12" t="n">
        <v>46308</v>
      </c>
      <c r="F62" s="12" t="n">
        <v>46309</v>
      </c>
      <c r="G62" s="9" t="n">
        <f aca="false">F62-E62+1</f>
        <v>2</v>
      </c>
      <c r="H62" s="11" t="s">
        <v>260</v>
      </c>
      <c r="I62" s="9" t="s">
        <v>261</v>
      </c>
      <c r="J62" s="13" t="s">
        <v>29</v>
      </c>
      <c r="K62" s="14" t="s">
        <v>30</v>
      </c>
      <c r="L62" s="22" t="str">
        <f aca="false">IF(AND(L$4&gt;=$E62,L$4&lt;=$F62),"■","")</f>
        <v/>
      </c>
      <c r="M62" s="22" t="str">
        <f aca="false">IF(AND(M$4&gt;=$E62,M$4&lt;=$F62),"■","")</f>
        <v/>
      </c>
      <c r="N62" s="22" t="str">
        <f aca="false">IF(AND(N$4&gt;=$E62,N$4&lt;=$F62),"■","")</f>
        <v/>
      </c>
      <c r="O62" s="22" t="str">
        <f aca="false">IF(AND(O$4&gt;=$E62,O$4&lt;=$F62),"■","")</f>
        <v/>
      </c>
      <c r="P62" s="22" t="str">
        <f aca="false">IF(AND(P$4&gt;=$E62,P$4&lt;=$F62),"■","")</f>
        <v/>
      </c>
      <c r="Q62" s="22" t="str">
        <f aca="false">IF(AND(Q$4&gt;=$E62,Q$4&lt;=$F62),"■","")</f>
        <v/>
      </c>
      <c r="R62" s="22" t="str">
        <f aca="false">IF(AND(R$4&gt;=$E62,R$4&lt;=$F62),"■","")</f>
        <v/>
      </c>
      <c r="S62" s="22" t="str">
        <f aca="false">IF(AND(S$4&gt;=$E62,S$4&lt;=$F62),"■","")</f>
        <v/>
      </c>
      <c r="T62" s="22" t="str">
        <f aca="false">IF(AND(T$4&gt;=$E62,T$4&lt;=$F62),"■","")</f>
        <v>■</v>
      </c>
      <c r="U62" s="22" t="str">
        <f aca="false">IF(AND(U$4&gt;=$E62,U$4&lt;=$F62),"■","")</f>
        <v>■</v>
      </c>
      <c r="V62" s="22" t="str">
        <f aca="false">IF(AND(V$4&gt;=$E62,V$4&lt;=$F62),"■","")</f>
        <v/>
      </c>
      <c r="W62" s="22" t="str">
        <f aca="false">IF(AND(W$4&gt;=$E62,W$4&lt;=$F62),"■","")</f>
        <v/>
      </c>
    </row>
    <row r="64" customFormat="false" ht="15" hidden="false" customHeight="false" outlineLevel="0" collapsed="false">
      <c r="B64" s="24" t="s">
        <v>262</v>
      </c>
    </row>
    <row r="65" customFormat="false" ht="15" hidden="false" customHeight="false" outlineLevel="0" collapsed="false">
      <c r="B65" s="25" t="s">
        <v>3</v>
      </c>
      <c r="C65" s="25" t="s">
        <v>263</v>
      </c>
      <c r="D65" s="25" t="s">
        <v>264</v>
      </c>
      <c r="E65" s="25" t="s">
        <v>265</v>
      </c>
      <c r="F65" s="25" t="s">
        <v>266</v>
      </c>
      <c r="G65" s="25" t="s">
        <v>267</v>
      </c>
    </row>
    <row r="66" customFormat="false" ht="15" hidden="false" customHeight="false" outlineLevel="0" collapsed="false">
      <c r="B66" s="26" t="s">
        <v>55</v>
      </c>
      <c r="C66" s="27" t="n">
        <f aca="false">COUNTIF($B$6:$B$62,B66)</f>
        <v>11</v>
      </c>
      <c r="D66" s="27" t="n">
        <f aca="false">COUNTIFS($B$6:$B$62,B66,$J$6:$J$62,"완료")</f>
        <v>0</v>
      </c>
      <c r="E66" s="27" t="n">
        <f aca="false">COUNTIFS($B$6:$B$62,B66,$J$6:$J$62,"진행")</f>
        <v>0</v>
      </c>
      <c r="F66" s="27" t="n">
        <f aca="false">COUNTIFS($B$6:$B$62,B66,$J$6:$J$62,"지연")</f>
        <v>0</v>
      </c>
      <c r="G66" s="28" t="n">
        <f aca="false">IFERROR(COUNTIFS($B$6:$B$62,B66,$K$6:$K$62,"완료")/COUNTIF($B$6:$B$62,B66),0)</f>
        <v>0</v>
      </c>
    </row>
    <row r="67" customFormat="false" ht="15" hidden="false" customHeight="false" outlineLevel="0" collapsed="false">
      <c r="B67" s="29" t="s">
        <v>89</v>
      </c>
      <c r="C67" s="27" t="n">
        <f aca="false">COUNTIF($B$6:$B$62,B67)</f>
        <v>17</v>
      </c>
      <c r="D67" s="27" t="n">
        <f aca="false">COUNTIFS($B$6:$B$62,B67,$J$6:$J$62,"완료")</f>
        <v>0</v>
      </c>
      <c r="E67" s="27" t="n">
        <f aca="false">COUNTIFS($B$6:$B$62,B67,$J$6:$J$62,"진행")</f>
        <v>0</v>
      </c>
      <c r="F67" s="27" t="n">
        <f aca="false">COUNTIFS($B$6:$B$62,B67,$J$6:$J$62,"지연")</f>
        <v>0</v>
      </c>
      <c r="G67" s="28" t="n">
        <f aca="false">IFERROR(COUNTIFS($B$6:$B$62,B67,$K$6:$K$62,"완료")/COUNTIF($B$6:$B$62,B67),0)</f>
        <v>0</v>
      </c>
    </row>
    <row r="68" customFormat="false" ht="15" hidden="false" customHeight="false" outlineLevel="0" collapsed="false">
      <c r="B68" s="30" t="s">
        <v>127</v>
      </c>
      <c r="C68" s="27" t="n">
        <f aca="false">COUNTIF($B$6:$B$62,B68)</f>
        <v>9</v>
      </c>
      <c r="D68" s="27" t="n">
        <f aca="false">COUNTIFS($B$6:$B$62,B68,$J$6:$J$62,"완료")</f>
        <v>0</v>
      </c>
      <c r="E68" s="27" t="n">
        <f aca="false">COUNTIFS($B$6:$B$62,B68,$J$6:$J$62,"진행")</f>
        <v>0</v>
      </c>
      <c r="F68" s="27" t="n">
        <f aca="false">COUNTIFS($B$6:$B$62,B68,$J$6:$J$62,"지연")</f>
        <v>0</v>
      </c>
      <c r="G68" s="28" t="n">
        <f aca="false">IFERROR(COUNTIFS($B$6:$B$62,B68,$K$6:$K$62,"완료")/COUNTIF($B$6:$B$62,B68),0)</f>
        <v>0</v>
      </c>
    </row>
    <row r="69" customFormat="false" ht="15" hidden="false" customHeight="false" outlineLevel="0" collapsed="false">
      <c r="B69" s="31" t="s">
        <v>148</v>
      </c>
      <c r="C69" s="27" t="n">
        <f aca="false">COUNTIF($B$6:$B$62,B69)</f>
        <v>12</v>
      </c>
      <c r="D69" s="27" t="n">
        <f aca="false">COUNTIFS($B$6:$B$62,B69,$J$6:$J$62,"완료")</f>
        <v>0</v>
      </c>
      <c r="E69" s="27" t="n">
        <f aca="false">COUNTIFS($B$6:$B$62,B69,$J$6:$J$62,"진행")</f>
        <v>0</v>
      </c>
      <c r="F69" s="27" t="n">
        <f aca="false">COUNTIFS($B$6:$B$62,B69,$J$6:$J$62,"지연")</f>
        <v>0</v>
      </c>
      <c r="G69" s="28" t="n">
        <f aca="false">IFERROR(COUNTIFS($B$6:$B$62,B69,$K$6:$K$62,"완료")/COUNTIF($B$6:$B$62,B69),0)</f>
        <v>0</v>
      </c>
    </row>
    <row r="70" customFormat="false" ht="15" hidden="false" customHeight="false" outlineLevel="0" collapsed="false">
      <c r="B70" s="32" t="s">
        <v>24</v>
      </c>
      <c r="C70" s="27" t="n">
        <f aca="false">COUNTIF($B$6:$B$62,B70)</f>
        <v>8</v>
      </c>
      <c r="D70" s="27" t="n">
        <f aca="false">COUNTIFS($B$6:$B$62,B70,$J$6:$J$62,"완료")</f>
        <v>0</v>
      </c>
      <c r="E70" s="27" t="n">
        <f aca="false">COUNTIFS($B$6:$B$62,B70,$J$6:$J$62,"진행")</f>
        <v>0</v>
      </c>
      <c r="F70" s="27" t="n">
        <f aca="false">COUNTIFS($B$6:$B$62,B70,$J$6:$J$62,"지연")</f>
        <v>0</v>
      </c>
      <c r="G70" s="28" t="n">
        <f aca="false">IFERROR(COUNTIFS($B$6:$B$62,B70,$K$6:$K$62,"완료")/COUNTIF($B$6:$B$62,B70),0)</f>
        <v>0</v>
      </c>
    </row>
    <row r="71" customFormat="false" ht="15" hidden="false" customHeight="false" outlineLevel="0" collapsed="false">
      <c r="B71" s="33" t="s">
        <v>24</v>
      </c>
      <c r="C71" s="33" t="n">
        <f aca="false">COUNTA($A$6:$A$62)</f>
        <v>57</v>
      </c>
      <c r="D71" s="33" t="n">
        <f aca="false">COUNTIF($J$6:$J$62,"완료")</f>
        <v>0</v>
      </c>
      <c r="E71" s="33" t="n">
        <f aca="false">COUNTIF($J$6:$J$62,"진행")</f>
        <v>0</v>
      </c>
      <c r="F71" s="33" t="n">
        <f aca="false">COUNTIF($J$6:$J$62,"지연")</f>
        <v>0</v>
      </c>
      <c r="G71" s="34" t="n">
        <f aca="false">IFERROR(COUNTIF($K$6:$K$62,"완료")/COUNTA($A$6:$A$62),0)</f>
        <v>0</v>
      </c>
    </row>
    <row r="73" customFormat="false" ht="15" hidden="false" customHeight="false" outlineLevel="0" collapsed="false">
      <c r="B73" s="35" t="s">
        <v>268</v>
      </c>
    </row>
  </sheetData>
  <conditionalFormatting sqref="L6:W62">
    <cfRule type="expression" priority="2" aboveAverage="0" equalAverage="0" bottom="0" percent="0" rank="0" text="" dxfId="0">
      <formula>AND(L6="■",$B6="음성·웹·HMI")</formula>
    </cfRule>
    <cfRule type="expression" priority="3" aboveAverage="0" equalAverage="0" bottom="0" percent="0" rank="0" text="" dxfId="1">
      <formula>AND(L6="■",$B6="비전·OCR·통합")</formula>
    </cfRule>
    <cfRule type="expression" priority="4" aboveAverage="0" equalAverage="0" bottom="0" percent="0" rank="0" text="" dxfId="2">
      <formula>AND(L6="■",$B6="추종·파지")</formula>
    </cfRule>
    <cfRule type="expression" priority="5" aboveAverage="0" equalAverage="0" bottom="0" percent="0" rank="0" text="" dxfId="3">
      <formula>AND(L6="■",$B6="로봇 제어·환경 설정")</formula>
    </cfRule>
    <cfRule type="expression" priority="6" aboveAverage="0" equalAverage="0" bottom="0" percent="0" rank="0" text="" dxfId="4">
      <formula>AND(L6="■",$B6="전체")</formula>
    </cfRule>
  </conditionalFormatting>
  <dataValidations count="2">
    <dataValidation allowBlank="true" errorStyle="stop" operator="between" showDropDown="false" showErrorMessage="false" showInputMessage="false" sqref="J6:J62" type="list">
      <formula1>"예정,진행,완료,지연"</formula1>
      <formula2>0</formula2>
    </dataValidation>
    <dataValidation allowBlank="true" error="시작전, 진행중, 완료 중에서 고르세요" errorStyle="stop" errorTitle="진행률" operator="between" prompt="▼를 눌러 시작전·진행중·완료 중 선택" promptTitle="진행률" showDropDown="false" showErrorMessage="true" showInputMessage="true" sqref="K6:K62" type="list">
      <formula1>"시작전,진행중,완료"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70"/>
    <col collapsed="false" customWidth="true" hidden="false" outlineLevel="0" max="4" min="4" style="1" width="20"/>
    <col collapsed="false" customWidth="true" hidden="false" outlineLevel="0" max="5" min="5" style="1" width="8"/>
  </cols>
  <sheetData>
    <row r="1" customFormat="false" ht="21" hidden="false" customHeight="true" outlineLevel="0" collapsed="false">
      <c r="A1" s="2" t="s">
        <v>269</v>
      </c>
    </row>
    <row r="2" customFormat="false" ht="15" hidden="false" customHeight="true" outlineLevel="0" collapsed="false">
      <c r="A2" s="25" t="s">
        <v>270</v>
      </c>
      <c r="B2" s="25" t="s">
        <v>271</v>
      </c>
      <c r="C2" s="25" t="s">
        <v>272</v>
      </c>
      <c r="D2" s="25" t="s">
        <v>273</v>
      </c>
      <c r="E2" s="25" t="s">
        <v>11</v>
      </c>
    </row>
    <row r="3" customFormat="false" ht="15" hidden="false" customHeight="true" outlineLevel="0" collapsed="false">
      <c r="A3" s="36" t="n">
        <v>46300</v>
      </c>
      <c r="B3" s="11" t="s">
        <v>274</v>
      </c>
      <c r="C3" s="11" t="s">
        <v>275</v>
      </c>
      <c r="D3" s="9" t="s">
        <v>276</v>
      </c>
      <c r="E3" s="13" t="s">
        <v>29</v>
      </c>
    </row>
    <row r="4" customFormat="false" ht="29.25" hidden="false" customHeight="true" outlineLevel="0" collapsed="false">
      <c r="A4" s="36" t="n">
        <v>46301</v>
      </c>
      <c r="B4" s="11" t="s">
        <v>277</v>
      </c>
      <c r="C4" s="11" t="s">
        <v>278</v>
      </c>
      <c r="D4" s="9" t="s">
        <v>34</v>
      </c>
      <c r="E4" s="13" t="s">
        <v>29</v>
      </c>
    </row>
    <row r="5" customFormat="false" ht="15" hidden="false" customHeight="true" outlineLevel="0" collapsed="false">
      <c r="A5" s="36" t="n">
        <v>46302</v>
      </c>
      <c r="B5" s="11" t="s">
        <v>279</v>
      </c>
      <c r="C5" s="11" t="s">
        <v>280</v>
      </c>
      <c r="D5" s="9" t="s">
        <v>38</v>
      </c>
      <c r="E5" s="13" t="s">
        <v>29</v>
      </c>
    </row>
    <row r="6" customFormat="false" ht="15" hidden="false" customHeight="true" outlineLevel="0" collapsed="false">
      <c r="A6" s="36" t="n">
        <v>46303</v>
      </c>
      <c r="B6" s="11" t="s">
        <v>281</v>
      </c>
      <c r="C6" s="9" t="s">
        <v>171</v>
      </c>
      <c r="D6" s="9" t="s">
        <v>282</v>
      </c>
      <c r="E6" s="13" t="s">
        <v>29</v>
      </c>
    </row>
    <row r="7" customFormat="false" ht="15" hidden="false" customHeight="true" outlineLevel="0" collapsed="false">
      <c r="A7" s="36" t="n">
        <v>46305</v>
      </c>
      <c r="B7" s="9" t="s">
        <v>283</v>
      </c>
      <c r="C7" s="11" t="s">
        <v>284</v>
      </c>
      <c r="D7" s="9" t="s">
        <v>42</v>
      </c>
      <c r="E7" s="13" t="s">
        <v>29</v>
      </c>
    </row>
    <row r="8" customFormat="false" ht="15" hidden="false" customHeight="true" outlineLevel="0" collapsed="false">
      <c r="A8" s="36" t="n">
        <v>46306</v>
      </c>
      <c r="B8" s="11" t="s">
        <v>285</v>
      </c>
      <c r="C8" s="11" t="s">
        <v>286</v>
      </c>
      <c r="D8" s="9" t="s">
        <v>287</v>
      </c>
      <c r="E8" s="13" t="s">
        <v>29</v>
      </c>
    </row>
    <row r="9" customFormat="false" ht="15" hidden="false" customHeight="true" outlineLevel="0" collapsed="false">
      <c r="A9" s="36" t="n">
        <v>46308</v>
      </c>
      <c r="B9" s="11" t="s">
        <v>288</v>
      </c>
      <c r="C9" s="11" t="s">
        <v>289</v>
      </c>
      <c r="D9" s="9" t="s">
        <v>183</v>
      </c>
      <c r="E9" s="13" t="s">
        <v>29</v>
      </c>
    </row>
    <row r="10" customFormat="false" ht="15" hidden="false" customHeight="true" outlineLevel="0" collapsed="false">
      <c r="A10" s="36" t="n">
        <v>46309</v>
      </c>
      <c r="B10" s="11" t="s">
        <v>290</v>
      </c>
      <c r="C10" s="11" t="s">
        <v>291</v>
      </c>
      <c r="D10" s="9" t="s">
        <v>38</v>
      </c>
      <c r="E10" s="13" t="s">
        <v>29</v>
      </c>
    </row>
    <row r="11" customFormat="false" ht="15" hidden="false" customHeight="true" outlineLevel="0" collapsed="false">
      <c r="A11" s="36" t="n">
        <v>46310</v>
      </c>
      <c r="B11" s="11" t="s">
        <v>292</v>
      </c>
      <c r="C11" s="23" t="s">
        <v>293</v>
      </c>
      <c r="D11" s="9" t="s">
        <v>294</v>
      </c>
      <c r="E11" s="13" t="s">
        <v>29</v>
      </c>
    </row>
    <row r="12" customFormat="false" ht="15" hidden="false" customHeight="true" outlineLevel="0" collapsed="false">
      <c r="A12" s="36" t="n">
        <v>46311</v>
      </c>
      <c r="B12" s="11" t="s">
        <v>295</v>
      </c>
      <c r="C12" s="9" t="s">
        <v>296</v>
      </c>
      <c r="D12" s="9" t="s">
        <v>53</v>
      </c>
      <c r="E12" s="13" t="s">
        <v>29</v>
      </c>
    </row>
  </sheetData>
  <dataValidations count="1">
    <dataValidation allowBlank="true" errorStyle="stop" operator="between" showDropDown="false" showErrorMessage="false" showInputMessage="false" sqref="E3:E12" type="list">
      <formula1>"예정,완료,지연"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8"/>
    <col collapsed="false" customWidth="true" hidden="false" outlineLevel="0" max="4" min="4" style="1" width="36"/>
    <col collapsed="false" customWidth="true" hidden="false" outlineLevel="0" max="5" min="5" style="1" width="20"/>
    <col collapsed="false" customWidth="true" hidden="false" outlineLevel="0" max="6" min="6" style="1" width="6"/>
  </cols>
  <sheetData>
    <row r="1" customFormat="false" ht="21" hidden="false" customHeight="true" outlineLevel="0" collapsed="false">
      <c r="A1" s="2" t="s">
        <v>297</v>
      </c>
    </row>
    <row r="2" customFormat="false" ht="15" hidden="false" customHeight="true" outlineLevel="0" collapsed="false">
      <c r="A2" s="37" t="s">
        <v>298</v>
      </c>
      <c r="B2" s="25" t="s">
        <v>299</v>
      </c>
      <c r="C2" s="25" t="s">
        <v>4</v>
      </c>
      <c r="D2" s="25" t="s">
        <v>300</v>
      </c>
      <c r="E2" s="25" t="s">
        <v>301</v>
      </c>
      <c r="F2" s="25" t="s">
        <v>264</v>
      </c>
    </row>
    <row r="3" customFormat="false" ht="15" hidden="false" customHeight="true" outlineLevel="0" collapsed="false">
      <c r="A3" s="9" t="n">
        <v>1</v>
      </c>
      <c r="B3" s="11" t="s">
        <v>302</v>
      </c>
      <c r="C3" s="11" t="s">
        <v>149</v>
      </c>
      <c r="D3" s="13"/>
      <c r="E3" s="9" t="s">
        <v>303</v>
      </c>
      <c r="F3" s="38" t="s">
        <v>304</v>
      </c>
    </row>
    <row r="4" customFormat="false" ht="15" hidden="false" customHeight="true" outlineLevel="0" collapsed="false">
      <c r="A4" s="9" t="n">
        <v>2</v>
      </c>
      <c r="B4" s="11" t="s">
        <v>305</v>
      </c>
      <c r="C4" s="11" t="s">
        <v>149</v>
      </c>
      <c r="D4" s="13"/>
      <c r="E4" s="9" t="s">
        <v>306</v>
      </c>
      <c r="F4" s="38" t="s">
        <v>304</v>
      </c>
    </row>
    <row r="5" customFormat="false" ht="15" hidden="false" customHeight="true" outlineLevel="0" collapsed="false">
      <c r="A5" s="9" t="n">
        <v>3</v>
      </c>
      <c r="B5" s="11" t="s">
        <v>307</v>
      </c>
      <c r="C5" s="11" t="s">
        <v>128</v>
      </c>
      <c r="D5" s="13"/>
      <c r="E5" s="9" t="s">
        <v>308</v>
      </c>
      <c r="F5" s="38" t="s">
        <v>304</v>
      </c>
    </row>
    <row r="6" customFormat="false" ht="15" hidden="false" customHeight="true" outlineLevel="0" collapsed="false">
      <c r="A6" s="9" t="n">
        <v>4</v>
      </c>
      <c r="B6" s="9" t="s">
        <v>309</v>
      </c>
      <c r="C6" s="11" t="s">
        <v>149</v>
      </c>
      <c r="D6" s="13"/>
      <c r="E6" s="9" t="s">
        <v>168</v>
      </c>
      <c r="F6" s="38" t="s">
        <v>304</v>
      </c>
    </row>
    <row r="7" customFormat="false" ht="15" hidden="false" customHeight="true" outlineLevel="0" collapsed="false">
      <c r="A7" s="9" t="n">
        <v>5</v>
      </c>
      <c r="B7" s="11" t="s">
        <v>310</v>
      </c>
      <c r="C7" s="11" t="s">
        <v>56</v>
      </c>
      <c r="D7" s="13"/>
      <c r="E7" s="9" t="s">
        <v>311</v>
      </c>
      <c r="F7" s="38" t="s">
        <v>304</v>
      </c>
    </row>
    <row r="8" customFormat="false" ht="15" hidden="false" customHeight="true" outlineLevel="0" collapsed="false">
      <c r="A8" s="9" t="n">
        <v>6</v>
      </c>
      <c r="B8" s="11" t="s">
        <v>312</v>
      </c>
      <c r="C8" s="11" t="s">
        <v>149</v>
      </c>
      <c r="D8" s="13"/>
      <c r="E8" s="9" t="s">
        <v>313</v>
      </c>
      <c r="F8" s="38" t="s">
        <v>304</v>
      </c>
    </row>
    <row r="9" customFormat="false" ht="15" hidden="false" customHeight="true" outlineLevel="0" collapsed="false">
      <c r="A9" s="9" t="n">
        <v>7</v>
      </c>
      <c r="B9" s="11" t="s">
        <v>314</v>
      </c>
      <c r="C9" s="11" t="s">
        <v>90</v>
      </c>
      <c r="D9" s="13"/>
      <c r="E9" s="9" t="s">
        <v>93</v>
      </c>
      <c r="F9" s="38" t="s">
        <v>304</v>
      </c>
    </row>
    <row r="10" customFormat="false" ht="15" hidden="false" customHeight="true" outlineLevel="0" collapsed="false">
      <c r="A10" s="9" t="n">
        <v>8</v>
      </c>
      <c r="B10" s="11" t="s">
        <v>315</v>
      </c>
      <c r="C10" s="11" t="s">
        <v>149</v>
      </c>
      <c r="D10" s="13"/>
      <c r="E10" s="9" t="s">
        <v>316</v>
      </c>
      <c r="F10" s="38" t="s">
        <v>304</v>
      </c>
    </row>
    <row r="11" customFormat="false" ht="15" hidden="false" customHeight="true" outlineLevel="0" collapsed="false">
      <c r="A11" s="9" t="n">
        <v>9</v>
      </c>
      <c r="B11" s="11" t="s">
        <v>317</v>
      </c>
      <c r="C11" s="11" t="s">
        <v>149</v>
      </c>
      <c r="D11" s="13"/>
      <c r="E11" s="9" t="s">
        <v>318</v>
      </c>
      <c r="F11" s="38" t="s">
        <v>304</v>
      </c>
    </row>
    <row r="12" customFormat="false" ht="15" hidden="false" customHeight="true" outlineLevel="0" collapsed="false">
      <c r="A12" s="9" t="n">
        <v>10</v>
      </c>
      <c r="B12" s="11" t="s">
        <v>319</v>
      </c>
      <c r="C12" s="11" t="s">
        <v>56</v>
      </c>
      <c r="D12" s="13"/>
      <c r="E12" s="9" t="s">
        <v>320</v>
      </c>
      <c r="F12" s="38" t="s">
        <v>304</v>
      </c>
    </row>
    <row r="14" customFormat="false" ht="15" hidden="false" customHeight="true" outlineLevel="0" collapsed="false">
      <c r="B14" s="24" t="str">
        <f aca="false">"완료 "&amp;COUNTIF(F3:F12,"☑")&amp;" / "&amp;COUNTA(B3:B12)</f>
        <v>완료 0 / 10</v>
      </c>
    </row>
  </sheetData>
  <dataValidations count="1">
    <dataValidation allowBlank="true" errorStyle="stop" operator="between" showDropDown="false" showErrorMessage="false" showInputMessage="false" sqref="F3:F12" type="list">
      <formula1>"□,☑"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2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36"/>
    <col collapsed="false" customWidth="true" hidden="false" outlineLevel="0" max="6" min="6" style="1" width="20"/>
    <col collapsed="false" customWidth="true" hidden="false" outlineLevel="0" max="7" min="7" style="1" width="7"/>
  </cols>
  <sheetData>
    <row r="1" customFormat="false" ht="21" hidden="false" customHeight="true" outlineLevel="0" collapsed="false">
      <c r="A1" s="39" t="s">
        <v>321</v>
      </c>
    </row>
    <row r="2" customFormat="false" ht="15" hidden="false" customHeight="true" outlineLevel="0" collapsed="false">
      <c r="A2" s="37" t="s">
        <v>298</v>
      </c>
      <c r="B2" s="25" t="s">
        <v>299</v>
      </c>
      <c r="C2" s="25" t="s">
        <v>4</v>
      </c>
      <c r="D2" s="25" t="s">
        <v>322</v>
      </c>
      <c r="E2" s="25" t="s">
        <v>323</v>
      </c>
      <c r="F2" s="25" t="s">
        <v>301</v>
      </c>
      <c r="G2" s="25" t="s">
        <v>11</v>
      </c>
    </row>
    <row r="3" customFormat="false" ht="15" hidden="false" customHeight="true" outlineLevel="0" collapsed="false">
      <c r="A3" s="9" t="n">
        <v>1</v>
      </c>
      <c r="B3" s="11" t="s">
        <v>324</v>
      </c>
      <c r="C3" s="11" t="s">
        <v>25</v>
      </c>
      <c r="D3" s="40" t="n">
        <v>46300</v>
      </c>
      <c r="E3" s="13"/>
      <c r="F3" s="9" t="s">
        <v>325</v>
      </c>
      <c r="G3" s="13" t="s">
        <v>326</v>
      </c>
    </row>
    <row r="4" customFormat="false" ht="15" hidden="false" customHeight="true" outlineLevel="0" collapsed="false">
      <c r="A4" s="9" t="n">
        <v>2</v>
      </c>
      <c r="B4" s="11" t="s">
        <v>327</v>
      </c>
      <c r="C4" s="11" t="s">
        <v>56</v>
      </c>
      <c r="D4" s="40" t="n">
        <v>46301</v>
      </c>
      <c r="E4" s="13"/>
      <c r="F4" s="9" t="s">
        <v>328</v>
      </c>
      <c r="G4" s="13" t="s">
        <v>326</v>
      </c>
    </row>
    <row r="5" customFormat="false" ht="15" hidden="false" customHeight="true" outlineLevel="0" collapsed="false">
      <c r="A5" s="9" t="n">
        <v>3</v>
      </c>
      <c r="B5" s="9" t="s">
        <v>329</v>
      </c>
      <c r="C5" s="11" t="s">
        <v>56</v>
      </c>
      <c r="D5" s="40" t="n">
        <v>46301</v>
      </c>
      <c r="E5" s="13"/>
      <c r="F5" s="9" t="s">
        <v>330</v>
      </c>
      <c r="G5" s="13" t="s">
        <v>326</v>
      </c>
    </row>
    <row r="6" customFormat="false" ht="15" hidden="false" customHeight="true" outlineLevel="0" collapsed="false">
      <c r="A6" s="9" t="n">
        <v>4</v>
      </c>
      <c r="B6" s="9" t="s">
        <v>331</v>
      </c>
      <c r="C6" s="11" t="s">
        <v>56</v>
      </c>
      <c r="D6" s="40" t="n">
        <v>46303</v>
      </c>
      <c r="E6" s="13"/>
      <c r="F6" s="9" t="s">
        <v>67</v>
      </c>
      <c r="G6" s="13" t="s">
        <v>326</v>
      </c>
    </row>
    <row r="7" customFormat="false" ht="15" hidden="false" customHeight="true" outlineLevel="0" collapsed="false">
      <c r="A7" s="9" t="n">
        <v>5</v>
      </c>
      <c r="B7" s="11" t="s">
        <v>332</v>
      </c>
      <c r="C7" s="11" t="s">
        <v>90</v>
      </c>
      <c r="D7" s="40" t="n">
        <v>46301</v>
      </c>
      <c r="E7" s="13"/>
      <c r="F7" s="9" t="s">
        <v>333</v>
      </c>
      <c r="G7" s="13" t="s">
        <v>326</v>
      </c>
    </row>
    <row r="8" customFormat="false" ht="15" hidden="false" customHeight="true" outlineLevel="0" collapsed="false">
      <c r="A8" s="9" t="n">
        <v>6</v>
      </c>
      <c r="B8" s="11" t="s">
        <v>334</v>
      </c>
      <c r="C8" s="11" t="s">
        <v>56</v>
      </c>
      <c r="D8" s="40" t="n">
        <v>46303</v>
      </c>
      <c r="E8" s="13"/>
      <c r="F8" s="9" t="s">
        <v>335</v>
      </c>
      <c r="G8" s="13" t="s">
        <v>326</v>
      </c>
    </row>
    <row r="9" customFormat="false" ht="15" hidden="false" customHeight="true" outlineLevel="0" collapsed="false">
      <c r="A9" s="9" t="n">
        <v>7</v>
      </c>
      <c r="B9" s="11" t="s">
        <v>336</v>
      </c>
      <c r="C9" s="11" t="s">
        <v>56</v>
      </c>
      <c r="D9" s="40" t="n">
        <v>46304</v>
      </c>
      <c r="E9" s="13"/>
      <c r="F9" s="9" t="s">
        <v>337</v>
      </c>
      <c r="G9" s="13" t="s">
        <v>326</v>
      </c>
    </row>
    <row r="10" customFormat="false" ht="15" hidden="false" customHeight="true" outlineLevel="0" collapsed="false">
      <c r="A10" s="9" t="n">
        <v>8</v>
      </c>
      <c r="B10" s="11" t="s">
        <v>338</v>
      </c>
      <c r="C10" s="11" t="s">
        <v>149</v>
      </c>
      <c r="D10" s="40" t="n">
        <v>46302</v>
      </c>
      <c r="E10" s="13"/>
      <c r="F10" s="9" t="s">
        <v>339</v>
      </c>
      <c r="G10" s="13" t="s">
        <v>326</v>
      </c>
    </row>
    <row r="11" customFormat="false" ht="15" hidden="false" customHeight="true" outlineLevel="0" collapsed="false">
      <c r="A11" s="9" t="n">
        <v>9</v>
      </c>
      <c r="B11" s="11" t="s">
        <v>340</v>
      </c>
      <c r="C11" s="11" t="s">
        <v>149</v>
      </c>
      <c r="D11" s="40" t="n">
        <v>46302</v>
      </c>
      <c r="E11" s="13"/>
      <c r="F11" s="9" t="s">
        <v>339</v>
      </c>
      <c r="G11" s="13" t="s">
        <v>326</v>
      </c>
    </row>
    <row r="12" customFormat="false" ht="15" hidden="false" customHeight="true" outlineLevel="0" collapsed="false">
      <c r="A12" s="9" t="n">
        <v>10</v>
      </c>
      <c r="B12" s="9" t="s">
        <v>341</v>
      </c>
      <c r="C12" s="11" t="s">
        <v>25</v>
      </c>
      <c r="D12" s="40" t="n">
        <v>46300</v>
      </c>
      <c r="E12" s="13"/>
      <c r="F12" s="9" t="s">
        <v>342</v>
      </c>
      <c r="G12" s="13" t="s">
        <v>326</v>
      </c>
    </row>
    <row r="13" customFormat="false" ht="15" hidden="false" customHeight="true" outlineLevel="0" collapsed="false">
      <c r="A13" s="9" t="n">
        <v>11</v>
      </c>
      <c r="B13" s="11" t="s">
        <v>343</v>
      </c>
      <c r="C13" s="11" t="s">
        <v>25</v>
      </c>
      <c r="D13" s="40" t="n">
        <v>46300</v>
      </c>
      <c r="E13" s="13"/>
      <c r="F13" s="9" t="s">
        <v>53</v>
      </c>
      <c r="G13" s="13" t="s">
        <v>326</v>
      </c>
    </row>
    <row r="14" customFormat="false" ht="15" hidden="false" customHeight="true" outlineLevel="0" collapsed="false">
      <c r="A14" s="9" t="n">
        <v>12</v>
      </c>
      <c r="B14" s="9" t="s">
        <v>344</v>
      </c>
      <c r="C14" s="11" t="s">
        <v>25</v>
      </c>
      <c r="D14" s="40" t="n">
        <v>46301</v>
      </c>
      <c r="E14" s="13"/>
      <c r="F14" s="9" t="s">
        <v>135</v>
      </c>
      <c r="G14" s="13" t="s">
        <v>326</v>
      </c>
    </row>
    <row r="15" customFormat="false" ht="15" hidden="false" customHeight="true" outlineLevel="0" collapsed="false">
      <c r="A15" s="9" t="n">
        <v>13</v>
      </c>
      <c r="B15" s="11" t="s">
        <v>345</v>
      </c>
      <c r="C15" s="11" t="s">
        <v>25</v>
      </c>
      <c r="D15" s="40" t="n">
        <v>46301</v>
      </c>
      <c r="E15" s="13"/>
      <c r="F15" s="9" t="s">
        <v>346</v>
      </c>
      <c r="G15" s="13" t="s">
        <v>326</v>
      </c>
    </row>
    <row r="16" customFormat="false" ht="15" hidden="false" customHeight="true" outlineLevel="0" collapsed="false">
      <c r="A16" s="9" t="n">
        <v>14</v>
      </c>
      <c r="B16" s="11" t="s">
        <v>347</v>
      </c>
      <c r="C16" s="11" t="s">
        <v>25</v>
      </c>
      <c r="D16" s="40" t="n">
        <v>46306</v>
      </c>
      <c r="E16" s="13" t="s">
        <v>348</v>
      </c>
      <c r="F16" s="9" t="s">
        <v>349</v>
      </c>
      <c r="G16" s="13" t="s">
        <v>326</v>
      </c>
    </row>
    <row r="17" customFormat="false" ht="15" hidden="false" customHeight="true" outlineLevel="0" collapsed="false">
      <c r="A17" s="9" t="n">
        <v>15</v>
      </c>
      <c r="B17" s="11" t="s">
        <v>350</v>
      </c>
      <c r="C17" s="11" t="s">
        <v>149</v>
      </c>
      <c r="D17" s="40" t="n">
        <v>46306</v>
      </c>
      <c r="E17" s="13" t="s">
        <v>351</v>
      </c>
      <c r="F17" s="9" t="s">
        <v>352</v>
      </c>
      <c r="G17" s="13" t="s">
        <v>326</v>
      </c>
    </row>
    <row r="18" customFormat="false" ht="15" hidden="false" customHeight="true" outlineLevel="0" collapsed="false">
      <c r="A18" s="9" t="n">
        <v>16</v>
      </c>
      <c r="B18" s="11" t="s">
        <v>353</v>
      </c>
      <c r="C18" s="11" t="s">
        <v>354</v>
      </c>
      <c r="D18" s="40" t="n">
        <v>46306</v>
      </c>
      <c r="E18" s="13" t="s">
        <v>355</v>
      </c>
      <c r="F18" s="9" t="s">
        <v>356</v>
      </c>
      <c r="G18" s="13" t="s">
        <v>326</v>
      </c>
    </row>
    <row r="19" customFormat="false" ht="15" hidden="false" customHeight="true" outlineLevel="0" collapsed="false">
      <c r="A19" s="9" t="n">
        <v>17</v>
      </c>
      <c r="B19" s="11" t="s">
        <v>357</v>
      </c>
      <c r="C19" s="11" t="s">
        <v>56</v>
      </c>
      <c r="D19" s="40" t="n">
        <v>46307</v>
      </c>
      <c r="E19" s="13" t="s">
        <v>358</v>
      </c>
      <c r="F19" s="9" t="s">
        <v>359</v>
      </c>
      <c r="G19" s="13" t="s">
        <v>326</v>
      </c>
    </row>
    <row r="20" customFormat="false" ht="15" hidden="false" customHeight="true" outlineLevel="0" collapsed="false">
      <c r="A20" s="9" t="n">
        <v>18</v>
      </c>
      <c r="B20" s="11" t="s">
        <v>360</v>
      </c>
      <c r="C20" s="11" t="s">
        <v>149</v>
      </c>
      <c r="D20" s="40" t="n">
        <v>46307</v>
      </c>
      <c r="E20" s="13" t="s">
        <v>361</v>
      </c>
      <c r="F20" s="9" t="s">
        <v>362</v>
      </c>
      <c r="G20" s="13" t="s">
        <v>326</v>
      </c>
    </row>
    <row r="21" customFormat="false" ht="15" hidden="false" customHeight="true" outlineLevel="0" collapsed="false">
      <c r="A21" s="9" t="n">
        <v>19</v>
      </c>
      <c r="B21" s="11" t="s">
        <v>363</v>
      </c>
      <c r="C21" s="11" t="s">
        <v>364</v>
      </c>
      <c r="D21" s="40" t="n">
        <v>46308</v>
      </c>
      <c r="E21" s="13" t="s">
        <v>365</v>
      </c>
      <c r="F21" s="9" t="s">
        <v>366</v>
      </c>
      <c r="G21" s="13" t="s">
        <v>326</v>
      </c>
    </row>
    <row r="22" customFormat="false" ht="15" hidden="false" customHeight="true" outlineLevel="0" collapsed="false">
      <c r="A22" s="9" t="n">
        <v>20</v>
      </c>
      <c r="B22" s="11" t="s">
        <v>367</v>
      </c>
      <c r="C22" s="11" t="s">
        <v>368</v>
      </c>
      <c r="D22" s="40" t="n">
        <v>46307</v>
      </c>
      <c r="E22" s="13" t="s">
        <v>369</v>
      </c>
      <c r="F22" s="9" t="s">
        <v>370</v>
      </c>
      <c r="G22" s="13" t="s">
        <v>371</v>
      </c>
    </row>
    <row r="23" customFormat="false" ht="15" hidden="false" customHeight="true" outlineLevel="0" collapsed="false">
      <c r="A23" s="9" t="n">
        <v>21</v>
      </c>
      <c r="B23" s="11" t="s">
        <v>372</v>
      </c>
      <c r="C23" s="11" t="s">
        <v>25</v>
      </c>
      <c r="D23" s="40" t="n">
        <v>46309</v>
      </c>
      <c r="E23" s="13" t="s">
        <v>373</v>
      </c>
      <c r="F23" s="9" t="s">
        <v>374</v>
      </c>
      <c r="G23" s="13" t="s">
        <v>326</v>
      </c>
    </row>
    <row r="24" customFormat="false" ht="15" hidden="false" customHeight="true" outlineLevel="0" collapsed="false">
      <c r="A24" s="9" t="n">
        <v>22</v>
      </c>
      <c r="B24" s="11" t="s">
        <v>375</v>
      </c>
      <c r="C24" s="11" t="s">
        <v>128</v>
      </c>
      <c r="D24" s="40" t="n">
        <v>46309</v>
      </c>
      <c r="E24" s="13" t="s">
        <v>376</v>
      </c>
      <c r="F24" s="9" t="s">
        <v>377</v>
      </c>
      <c r="G24" s="13" t="s">
        <v>326</v>
      </c>
    </row>
    <row r="25" customFormat="false" ht="15" hidden="false" customHeight="true" outlineLevel="0" collapsed="false">
      <c r="A25" s="9" t="n">
        <v>23</v>
      </c>
      <c r="B25" s="11" t="s">
        <v>378</v>
      </c>
      <c r="C25" s="11" t="s">
        <v>128</v>
      </c>
      <c r="D25" s="40" t="n">
        <v>46307</v>
      </c>
      <c r="E25" s="13" t="s">
        <v>379</v>
      </c>
      <c r="F25" s="9" t="s">
        <v>380</v>
      </c>
      <c r="G25" s="13" t="s">
        <v>326</v>
      </c>
    </row>
    <row r="27" customFormat="false" ht="15" hidden="false" customHeight="false" outlineLevel="0" collapsed="false">
      <c r="B27" s="11" t="str">
        <f aca="false">"결정 "&amp;COUNTIF(G3:G25,"결정")&amp;" / "&amp;COUNTA(B3:B25)</f>
        <v>결정 1 / 23</v>
      </c>
    </row>
  </sheetData>
  <dataValidations count="1">
    <dataValidation allowBlank="true" errorStyle="stop" operator="between" showDropDown="false" showErrorMessage="false" showInputMessage="false" sqref="G3:G25" type="list">
      <formula1>"미정,결정"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2026-10-04T17:33:30Z</dcterms:created>
  <dc:creator>openpyxl</dc:creator>
  <dc:description/>
  <dc:language>en-US</dc:language>
  <cp:lastModifiedBy/>
  <dcterms:modified xsi:type="dcterms:W3CDTF">2026-10-12T02:46:19Z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